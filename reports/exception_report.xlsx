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f8e144b5a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Business" sheetId="1" r:id="Rb000105f790a459c"/>
    <x:sheet xmlns:r="http://schemas.openxmlformats.org/officeDocument/2006/relationships" name="02 Evidence" sheetId="2" r:id="R2fd3b706e172431f"/>
    <x:sheet xmlns:r="http://schemas.openxmlformats.org/officeDocument/2006/relationships" name="03 Impact" sheetId="3" r:id="Rde7f2281a9ec44d4"/>
    <x:sheet xmlns:r="http://schemas.openxmlformats.org/officeDocument/2006/relationships" name="04 Decisions" sheetId="4" r:id="R20e202a5a0a34413"/>
    <x:sheet xmlns:r="http://schemas.openxmlformats.org/officeDocument/2006/relationships" name="05 Verification" sheetId="5" r:id="Rdbb81e7d2a824736"/>
    <x:sheet xmlns:r="http://schemas.openxmlformats.org/officeDocument/2006/relationships" name="06 Actions" sheetId="6" r:id="R762eff7964e64972"/>
    <x:sheet xmlns:r="http://schemas.openxmlformats.org/officeDocument/2006/relationships" name="07 Inventory" sheetId="7" r:id="R4111b0b834f943ad"/>
    <x:sheet xmlns:r="http://schemas.openxmlformats.org/officeDocument/2006/relationships" name="08 Receipt Calc" sheetId="8" r:id="R64bd666a8a5a4896"/>
    <x:sheet xmlns:r="http://schemas.openxmlformats.org/officeDocument/2006/relationships" name="09 Sources" sheetId="9" r:id="Rc26fa95834374d4c"/>
    <x:sheet xmlns:r="http://schemas.openxmlformats.org/officeDocument/2006/relationships" name="10 Production" sheetId="10" r:id="R9b11748c76a84ddb"/>
    <x:sheet xmlns:r="http://schemas.openxmlformats.org/officeDocument/2006/relationships" name="11 Mapping" sheetId="11" r:id="R7826d3ab5cfe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NZ$&quot;#,##0.00;[Red](&quot;NZ$&quot;#,##0.00);&quot;NZ$&quot;0.00"/>
    <x:numFmt numFmtId="201" formatCode="#,##0.00;[Red](#,##0.00);0.00"/>
    <x:numFmt numFmtId="202" formatCode="dd mmm yyyy"/>
    <x:numFmt numFmtId="203" formatCode="dd mmm yyyy hh:mm"/>
  </x:numFmts>
  <x:fonts count="6">
    <x:font>
      <x:sz val="11"/>
      <x:name val="Carlito"/>
    </x:font>
    <x:font>
      <x:sz val="10"/>
      <x:color rgb="FF1D2C43"/>
      <x:name val="Arial"/>
    </x:font>
    <x:font>
      <x:b/>
      <x:sz val="16"/>
      <x:color rgb="FF17243B"/>
      <x:name val="Arial"/>
    </x:font>
    <x:font>
      <x:i/>
      <x:sz val="10"/>
      <x:color rgb="FF526786"/>
      <x:name val="Arial"/>
    </x:font>
    <x:font>
      <x:b/>
      <x:sz val="10"/>
      <x:color rgb="FFFFFFFF"/>
      <x:name val="Arial"/>
    </x:font>
    <x:font>
      <x:b/>
      <x:sz val="12"/>
      <x:color rgb="FF243E7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A52828"/>
      </x:font>
      <x:fill>
        <x:patternFill patternType="solid">
          <x:bgColor rgb="FFFCE7E7"/>
        </x:patternFill>
      </x:fill>
    </x:dxf>
    <x:dxf>
      <x:font>
        <x:b/>
        <x:color rgb="FF8A4D00"/>
      </x:font>
      <x:fill>
        <x:patternFill patternType="solid">
          <x:bgColor rgb="FFFFF1D6"/>
        </x:patternFill>
      </x:fill>
    </x:dxf>
    <x:dxf>
      <x:font>
        <x:color rgb="FF8A4D00"/>
      </x:font>
      <x:fill>
        <x:patternFill patternType="solid">
          <x:bgColor rgb="FFFFF1D6"/>
        </x:patternFill>
      </x:fill>
    </x:dxf>
    <x:dxf>
      <x:font>
        <x:color rgb="FFA52828"/>
      </x:font>
      <x:fill>
        <x:patternFill patternType="solid">
          <x:bgColor rgb="FFFCE7E7"/>
        </x:patternFill>
      </x:fill>
    </x:dxf>
    <x:dxf>
      <x:font>
        <x:b/>
        <x:color rgb="FFA52828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23c9e0f8440f5" /><Relationship Type="http://schemas.openxmlformats.org/officeDocument/2006/relationships/theme" Target="/xl/theme/theme1.xml" Id="Rc78ae1a4e9ea4f85" /><Relationship Type="http://schemas.openxmlformats.org/officeDocument/2006/relationships/sharedStrings" Target="/xl/sharedStrings.xml" Id="R2f1bec2b52004757" /><Relationship Type="http://schemas.openxmlformats.org/officeDocument/2006/relationships/worksheet" Target="/xl/worksheets/sheet1.xml" Id="Rb000105f790a459c" /><Relationship Type="http://schemas.openxmlformats.org/officeDocument/2006/relationships/worksheet" Target="/xl/worksheets/sheet2.xml" Id="R2fd3b706e172431f" /><Relationship Type="http://schemas.openxmlformats.org/officeDocument/2006/relationships/worksheet" Target="/xl/worksheets/sheet3.xml" Id="Rde7f2281a9ec44d4" /><Relationship Type="http://schemas.openxmlformats.org/officeDocument/2006/relationships/worksheet" Target="/xl/worksheets/sheet4.xml" Id="R20e202a5a0a34413" /><Relationship Type="http://schemas.openxmlformats.org/officeDocument/2006/relationships/worksheet" Target="/xl/worksheets/sheet5.xml" Id="Rdbb81e7d2a824736" /><Relationship Type="http://schemas.openxmlformats.org/officeDocument/2006/relationships/worksheet" Target="/xl/worksheets/sheet6.xml" Id="R762eff7964e64972" /><Relationship Type="http://schemas.openxmlformats.org/officeDocument/2006/relationships/worksheet" Target="/xl/worksheets/sheet7.xml" Id="R4111b0b834f943ad" /><Relationship Type="http://schemas.openxmlformats.org/officeDocument/2006/relationships/worksheet" Target="/xl/worksheets/sheet8.xml" Id="R64bd666a8a5a4896" /><Relationship Type="http://schemas.openxmlformats.org/officeDocument/2006/relationships/worksheet" Target="/xl/worksheets/sheet9.xml" Id="Rc26fa95834374d4c" /><Relationship Type="http://schemas.openxmlformats.org/officeDocument/2006/relationships/worksheet" Target="/xl/worksheets/sheet10.xml" Id="R9b11748c76a84ddb" /><Relationship Type="http://schemas.openxmlformats.org/officeDocument/2006/relationships/worksheet" Target="/xl/worksheets/sheet11.xml" Id="R7826d3ab5cfe47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4597c8952941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Receipt dispositions before and after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Baseline</c:v>
          </c:tx>
          <c:spPr>
            <a:solidFill xmlns:a="http://schemas.openxmlformats.org/drawingml/2006/main">
              <a:srgbClr val="93A3BE"/>
            </a:solidFill>
          </c:spPr>
          <c:invertIfNegative val="0"/>
          <c:cat>
            <c:strRef>
              <c:f>'05 Verification'!$A$6:$A$9</c:f>
              <c:strCache>
                <c:ptCount val="0"/>
              </c:strCache>
            </c:strRef>
          </c:cat>
          <c:val>
            <c:numRef>
              <c:f>'05 Verification'!$B$6:$B$9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Approved</c:v>
          </c:tx>
          <c:spPr>
            <a:solidFill xmlns:a="http://schemas.openxmlformats.org/drawingml/2006/main">
              <a:srgbClr val="3051A0"/>
            </a:solidFill>
          </c:spPr>
          <c:invertIfNegative val="0"/>
          <c:cat>
            <c:strRef>
              <c:f>'05 Verification'!$A$6:$A$9</c:f>
              <c:strCache>
                <c:ptCount val="0"/>
              </c:strCache>
            </c:strRef>
          </c:cat>
          <c:val>
            <c:numRef>
              <c:f>'05 Verification'!$C$6:$C$9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4597c8952941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02Evidence" displayName="T02Evidence" ref="A5:J25" headerRowCount="1" totalsRowCount="0" totalsRowShown="0">
  <x:tableColumns count="10">
    <x:tableColumn id="1" name="Receipt"/>
    <x:tableColumn id="2" name="Source line"/>
    <x:tableColumn id="3" name="Receipt date"/>
    <x:tableColumn id="4" name="Posted date"/>
    <x:tableColumn id="5" name="Supplier"/>
    <x:tableColumn id="6" name="Supplier code"/>
    <x:tableColumn id="7" name="Batch"/>
    <x:tableColumn id="8" name="Qty received"/>
    <x:tableColumn id="9" name="Receipt UoM"/>
    <x:tableColumn id="10" name="Sour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T03Impact" displayName="T03Impact" ref="A5:J14" headerRowCount="1" totalsRowCount="0" totalsRowShown="0">
  <x:tableColumns count="10">
    <x:tableColumn id="1" name="Case"/>
    <x:tableColumn id="2" name="Category"/>
    <x:tableColumn id="3" name="Affected SKU(s)"/>
    <x:tableColumn id="4" name="Batch(es)"/>
    <x:tableColumn id="5" name="Impact qty"/>
    <x:tableColumn id="6" name="UoM"/>
    <x:tableColumn id="7" name="Amount NZD"/>
    <x:tableColumn id="8" name="Candidate low NZD"/>
    <x:tableColumn id="9" name="Candidate high NZD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T04Decisions" displayName="T04Decisions" ref="A5:F9" headerRowCount="1" totalsRowCount="0" totalsRowShown="0">
  <x:tableColumns count="6">
    <x:tableColumn id="1" name="Change request"/>
    <x:tableColumn id="2" name="Decision"/>
    <x:tableColumn id="3" name="Approver"/>
    <x:tableColumn id="4" name="Timestamp (UTC)"/>
    <x:tableColumn id="5" name="Reason"/>
    <x:tableColumn id="6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T05Verification" displayName="T05Verification" ref="A5:D11" headerRowCount="1" totalsRowCount="0" totalsRowShown="0">
  <x:tableColumns count="4">
    <x:tableColumn id="1" name="Metric"/>
    <x:tableColumn id="2" name="Baseline"/>
    <x:tableColumn id="3" name="Approved"/>
    <x:tableColumn id="4" name="Chan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ControlChecks" displayName="ControlChecks" ref="A15:B18" headerRowCount="1" totalsRowCount="0" totalsRowShown="0">
  <x:tableColumns count="2">
    <x:tableColumn id="1" name="Independent control"/>
    <x:tableColumn id="2" name="Difference (must be 0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T06Actions" displayName="T06Actions" ref="A5:I10" headerRowCount="1" totalsRowCount="0" totalsRowShown="0">
  <x:tableColumns count="9">
    <x:tableColumn id="1" name="Case"/>
    <x:tableColumn id="2" name="Issue"/>
    <x:tableColumn id="3" name="SKU(s)"/>
    <x:tableColumn id="4" name="Receipt / batch"/>
    <x:tableColumn id="5" name="Owner"/>
    <x:tableColumn id="6" name="Due date"/>
    <x:tableColumn id="7" name="Deadline status"/>
    <x:tableColumn id="8" name="Next action"/>
    <x:tableColumn id="9" name="Verification resul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T07Inventory" displayName="T07Inventory" ref="A5:N13" headerRowCount="1" totalsRowCount="0" totalsRowShown="0">
  <x:tableColumns count="14">
    <x:tableColumn id="1" name="SKU"/>
    <x:tableColumn id="2" name="UoM"/>
    <x:tableColumn id="3" name="Opening"/>
    <x:tableColumn id="4" name="Before receipts"/>
    <x:tableColumn id="5" name="After receipts"/>
    <x:tableColumn id="6" name="Signed issues"/>
    <x:tableColumn id="7" name="Before expected"/>
    <x:tableColumn id="8" name="After expected"/>
    <x:tableColumn id="9" name="Counted close"/>
    <x:tableColumn id="10" name="Before variance"/>
    <x:tableColumn id="11" name="After variance"/>
    <x:tableColumn id="12" name="Cost NZD/base"/>
    <x:tableColumn id="13" name="Before variance NZD"/>
    <x:tableColumn id="14" name="After variance NZ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4" name="T08ReceiptCalc" displayName="T08ReceiptCalc" ref="A5:T25" headerRowCount="1" totalsRowCount="0" totalsRowShown="0">
  <x:tableColumns count="20">
    <x:tableColumn id="1" name="Receipt"/>
    <x:tableColumn id="2" name="Before disposition"/>
    <x:tableColumn id="3" name="After disposition"/>
    <x:tableColumn id="4" name="SKU"/>
    <x:tableColumn id="5" name="Batch"/>
    <x:tableColumn id="6" name="Source qty"/>
    <x:tableColumn id="7" name="Source UoM"/>
    <x:tableColumn id="8" name="Base UoM"/>
    <x:tableColumn id="9" name="Before factor"/>
    <x:tableColumn id="10" name="Approved factor"/>
    <x:tableColumn id="11" name="Before base qty"/>
    <x:tableColumn id="12" name="After base qty"/>
    <x:tableColumn id="13" name="Cost NZD/base"/>
    <x:tableColumn id="14" name="Before value"/>
    <x:tableColumn id="15" name="After value"/>
    <x:tableColumn id="16" name="Comparable delta"/>
    <x:tableColumn id="17" name="New eligible value"/>
    <x:tableColumn id="18" name="Late flag"/>
    <x:tableColumn id="19" name="Approved mapping"/>
    <x:tableColumn id="20" name="Baseline mapp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" name="T09Sources" displayName="T09Sources" ref="A5:L13" headerRowCount="1" totalsRowCount="0" totalsRowShown="0">
  <x:tableColumns count="12">
    <x:tableColumn id="1" name="SKU"/>
    <x:tableColumn id="2" name="Product"/>
    <x:tableColumn id="3" name="Base UoM"/>
    <x:tableColumn id="4" name="Cost NZD/base"/>
    <x:tableColumn id="5" name="Opening 31 Aug"/>
    <x:tableColumn id="6" name="Count 30 Sep"/>
    <x:tableColumn id="7" name="Signed issues"/>
    <x:tableColumn id="8" name="Demand qty"/>
    <x:tableColumn id="9" name="Demand date"/>
    <x:tableColumn id="10" name="Order"/>
    <x:tableColumn id="11" name="Count / issue evidence"/>
    <x:tableColumn id="12" name="Demand evid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6" name="T10Production" displayName="T10Production" ref="A5:J13" headerRowCount="1" totalsRowCount="0" totalsRowShown="0">
  <x:tableColumns count="10">
    <x:tableColumn id="1" name="Order"/>
    <x:tableColumn id="2" name="SKU"/>
    <x:tableColumn id="3" name="UoM"/>
    <x:tableColumn id="4" name="Required date"/>
    <x:tableColumn id="5" name="Required qty"/>
    <x:tableColumn id="6" name="Available qty"/>
    <x:tableColumn id="7" name="Shortfall qty"/>
    <x:tableColumn id="8" name="Cost NZD/base"/>
    <x:tableColumn id="9" name="Material gap NZD"/>
    <x:tableColumn id="10" name="Risk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" name="T11Mapping" displayName="T11Mapping" ref="A5:J18" headerRowCount="1" totalsRowCount="0" totalsRowShown="0">
  <x:tableColumns count="10">
    <x:tableColumn id="1" name="Mapping ID"/>
    <x:tableColumn id="2" name="Supplier"/>
    <x:tableColumn id="3" name="Supplier code"/>
    <x:tableColumn id="4" name="SKU"/>
    <x:tableColumn id="5" name="Effective from"/>
    <x:tableColumn id="6" name="Effective to"/>
    <x:tableColumn id="7" name="Supplier UoM"/>
    <x:tableColumn id="8" name="Base qty/case"/>
    <x:tableColumn id="9" name="kg or L per supplier unit"/>
    <x:tableColumn id="10" name="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7a7a58be0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888b3527f3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e03cede4cb46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b523cba1b9b4908" /><Relationship Type="http://schemas.openxmlformats.org/officeDocument/2006/relationships/table" Target="/xl/tables/table4.xml" Id="R593436b75fd8460c" /><Relationship Type="http://schemas.openxmlformats.org/officeDocument/2006/relationships/table" Target="/xl/tables/table5.xml" Id="R4f83af3eddc94a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2182a1e68324b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1e548250b245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561d457f4f744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4d0f56e30784fb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742202f023545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4a972613ab04bde" /></Relationships>
</file>

<file path=xl/worksheets/sheet1.xml><?xml version="1.0" encoding="utf-8"?>
<x:worksheet xmlns:x="http://schemas.openxmlformats.org/spreadsheetml/2006/main">
  <x:sheetPr>
    <x:tabColor rgb="FF243E72"/>
  </x:sheetPr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Food supply chain investigation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Synthetic case study. September 2026 receipts. Review as of 2 October 2026. NZD, excluding GST.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7" t="str">
        <x:v>1. Business problem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Pack-size and unit changes can distort available stock and production material decisions.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7" t="str">
        <x:v>2. Data evidence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 t="str">
        <x:v>20 imported receipts, independent stock counts, production issues, costs and dated material requirements.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7" t="str">
        <x:v>3. Discrepancy and impact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 t="str">
        <x:v>Packaging correction NZD</x:v>
      </x:c>
      <x:c r="B12" s="1"/>
      <x:c r="C12" s="1"/>
      <x:c r="D12" s="16" t="n">
        <x:f>SUMIF('03 Impact'!B6:B14,"pack_quantity_correction",'03 Impact'!G6:G14)</x:f>
        <x:v>629</x:v>
      </x:c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 t="str">
        <x:v>New eligible stock value NZD</x:v>
      </x:c>
      <x:c r="B13" s="1"/>
      <x:c r="C13" s="1"/>
      <x:c r="D13" s="16" t="n">
        <x:f>SUMIF('03 Impact'!B6:B14,"approved_unit_conversion",'03 Impact'!G6:G14)</x:f>
        <x:v>501.6</x:v>
      </x:c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7" t="str">
        <x:v>4. Handling decision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 t="str">
        <x:v>Approve the evidenced pack and density changes. Hold disputed and expired-code receipts.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7" t="str">
        <x:v>5. Recalculation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 t="str">
        <x:v>Reporting-ready rows</x:v>
      </x:c>
      <x:c r="B19" s="1"/>
      <x:c r="C19" s="1"/>
      <x:c r="D19" s="1" t="n">
        <x:f>COUNTIF('08 Receipt Calc'!C6:C25,"reporting_ready")</x:f>
        <x:v>17</x:v>
      </x:c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 t="str">
        <x:v>Residual inventory variance NZD</x:v>
      </x:c>
      <x:c r="B20" s="1"/>
      <x:c r="C20" s="1"/>
      <x:c r="D20" s="16" t="n">
        <x:f>SUMIF('07 Inventory'!N6:N13,"&gt;0",'07 Inventory'!N6:N13)-SUMIF('07 Inventory'!N6:N13,"&lt;0",'07 Inventory'!N6:N13)</x:f>
        <x:v>18</x:v>
      </x:c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7" t="str">
        <x:v>6. Unresolved items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 t="str">
        <x:v>Held receipts</x:v>
      </x:c>
      <x:c r="B23" s="1"/>
      <x:c r="C23" s="1"/>
      <x:c r="D23" s="1" t="n">
        <x:f>COUNTIF('08 Receipt Calc'!C6:C25,"review")</x:f>
        <x:v>2</x:v>
      </x:c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 t="str">
        <x:v>Production orders with material gaps</x:v>
      </x:c>
      <x:c r="B24" s="1"/>
      <x:c r="C24" s="1"/>
      <x:c r="D24" s="1" t="n">
        <x:f>COUNTIF('10 Production'!J6:J13,"material_shortfall")</x:f>
        <x:v>2</x:v>
      </x:c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 t="str">
        <x:v>No balancing adjustment. Held stock remains excluded. Impact categories overlap; do not add as savings.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 t="str">
        <x:v>This workbook recalculates arithmetic. Rerun the pipeline to refresh mapping selection and investigation actions.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E7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2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2. Data evidence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3" t="str">
        <x:v>20 imported source rows. Duplicate identity is supplier plus source document line; batch is traceability.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8" customHeight="1">
      <x:c r="A5" s="8" t="str">
        <x:v>Receipt</x:v>
      </x:c>
      <x:c r="B5" s="8" t="str">
        <x:v>Source line</x:v>
      </x:c>
      <x:c r="C5" s="8" t="str">
        <x:v>Receipt date</x:v>
      </x:c>
      <x:c r="D5" s="8" t="str">
        <x:v>Posted date</x:v>
      </x:c>
      <x:c r="E5" s="8" t="str">
        <x:v>Supplier</x:v>
      </x:c>
      <x:c r="F5" s="8" t="str">
        <x:v>Supplier code</x:v>
      </x:c>
      <x:c r="G5" s="8" t="str">
        <x:v>Batch</x:v>
      </x:c>
      <x:c r="H5" s="8" t="str">
        <x:v>Qty received</x:v>
      </x:c>
      <x:c r="I5" s="8" t="str">
        <x:v>Receipt UoM</x:v>
      </x:c>
      <x:c r="J5" s="8" t="str">
        <x:v>Source note</x:v>
      </x:c>
      <x:c r="K5" s="1"/>
    </x:row>
    <x:row r="6" ht="24" customHeight="1">
      <x:c r="A6" s="10" t="str">
        <x:v>RCV-0001</x:v>
      </x:c>
      <x:c r="B6" s="10" t="str">
        <x:v>GRN-0001-1</x:v>
      </x:c>
      <x:c r="C6" s="13" t="n">
        <x:v>46268</x:v>
      </x:c>
      <x:c r="D6" s="13" t="n">
        <x:v>46268</x:v>
      </x:c>
      <x:c r="E6" s="10" t="str">
        <x:v>SUP-NORTHFROST</x:v>
      </x:c>
      <x:c r="F6" s="10" t="str">
        <x:v>NF-BER-10</x:v>
      </x:c>
      <x:c r="G6" s="9" t="str">
        <x:v>B-0901</x:v>
      </x:c>
      <x:c r="H6" s="12" t="n">
        <x:v>12</x:v>
      </x:c>
      <x:c r="I6" s="9" t="str">
        <x:v>CASE</x:v>
      </x:c>
      <x:c r="J6" s="10" t="str">
        <x:v>Synthetic receiving document</x:v>
      </x:c>
      <x:c r="K6" s="1"/>
    </x:row>
    <x:row r="7" ht="24" customHeight="1">
      <x:c r="A7" s="10" t="str">
        <x:v>RCV-0002</x:v>
      </x:c>
      <x:c r="B7" s="10" t="str">
        <x:v>GRN-0002-1</x:v>
      </x:c>
      <x:c r="C7" s="13" t="n">
        <x:v>46270</x:v>
      </x:c>
      <x:c r="D7" s="13" t="n">
        <x:v>46270</x:v>
      </x:c>
      <x:c r="E7" s="10" t="str">
        <x:v>SUNCOAST-BEV</x:v>
      </x:c>
      <x:c r="F7" s="10" t="str">
        <x:v>SC-JCE-20L</x:v>
      </x:c>
      <x:c r="G7" s="9" t="str">
        <x:v>B-0903</x:v>
      </x:c>
      <x:c r="H7" s="12" t="n">
        <x:v>50</x:v>
      </x:c>
      <x:c r="I7" s="9" t="str">
        <x:v>L</x:v>
      </x:c>
      <x:c r="J7" s="10" t="str">
        <x:v>Synthetic receiving document</x:v>
      </x:c>
      <x:c r="K7" s="1"/>
    </x:row>
    <x:row r="8" ht="24" customHeight="1">
      <x:c r="A8" s="10" t="str">
        <x:v>RCV-0003</x:v>
      </x:c>
      <x:c r="B8" s="10" t="str">
        <x:v>GRN-0003-1</x:v>
      </x:c>
      <x:c r="C8" s="13" t="n">
        <x:v>46272</x:v>
      </x:c>
      <x:c r="D8" s="13" t="n">
        <x:v>46272</x:v>
      </x:c>
      <x:c r="E8" s="10" t="str">
        <x:v>MILLERS-DIRECT</x:v>
      </x:c>
      <x:c r="F8" s="10" t="str">
        <x:v>MD-FLU-25</x:v>
      </x:c>
      <x:c r="G8" s="9" t="str">
        <x:v>B-0905</x:v>
      </x:c>
      <x:c r="H8" s="12" t="n">
        <x:v>80</x:v>
      </x:c>
      <x:c r="I8" s="9" t="str">
        <x:v>kg</x:v>
      </x:c>
      <x:c r="J8" s="10" t="str">
        <x:v>Synthetic receiving document</x:v>
      </x:c>
      <x:c r="K8" s="1"/>
    </x:row>
    <x:row r="9" ht="24" customHeight="1">
      <x:c r="A9" s="10" t="str">
        <x:v>RCV-0004</x:v>
      </x:c>
      <x:c r="B9" s="10" t="str">
        <x:v>GRN-0004-1</x:v>
      </x:c>
      <x:c r="C9" s="13" t="n">
        <x:v>46266</x:v>
      </x:c>
      <x:c r="D9" s="13" t="n">
        <x:v>46266</x:v>
      </x:c>
      <x:c r="E9" s="10" t="str">
        <x:v>SUP-NORTHFROST</x:v>
      </x:c>
      <x:c r="F9" s="10" t="str">
        <x:v>NF-BER-10</x:v>
      </x:c>
      <x:c r="G9" s="9" t="str">
        <x:v>B-0907</x:v>
      </x:c>
      <x:c r="H9" s="12" t="n">
        <x:v>12</x:v>
      </x:c>
      <x:c r="I9" s="9" t="str">
        <x:v>CASE</x:v>
      </x:c>
      <x:c r="J9" s="10" t="str">
        <x:v>Synthetic receiving document</x:v>
      </x:c>
      <x:c r="K9" s="1"/>
    </x:row>
    <x:row r="10" ht="24" customHeight="1">
      <x:c r="A10" s="10" t="str">
        <x:v>RCV-0005</x:v>
      </x:c>
      <x:c r="B10" s="10" t="str">
        <x:v>GRN-0005-1</x:v>
      </x:c>
      <x:c r="C10" s="13" t="n">
        <x:v>46276</x:v>
      </x:c>
      <x:c r="D10" s="13" t="n">
        <x:v>46276</x:v>
      </x:c>
      <x:c r="E10" s="10" t="str">
        <x:v>SUNCOAST-BEV</x:v>
      </x:c>
      <x:c r="F10" s="10" t="str">
        <x:v>SC-PAS-3KG</x:v>
      </x:c>
      <x:c r="G10" s="9" t="str">
        <x:v>B-0909</x:v>
      </x:c>
      <x:c r="H10" s="12" t="n">
        <x:v>100</x:v>
      </x:c>
      <x:c r="I10" s="9" t="str">
        <x:v>kg</x:v>
      </x:c>
      <x:c r="J10" s="10" t="str">
        <x:v>Synthetic receiving document</x:v>
      </x:c>
      <x:c r="K10" s="1"/>
    </x:row>
    <x:row r="11" ht="24" customHeight="1">
      <x:c r="A11" s="10" t="str">
        <x:v>RCV-0006</x:v>
      </x:c>
      <x:c r="B11" s="10" t="str">
        <x:v>GRN-0006-1</x:v>
      </x:c>
      <x:c r="C11" s="13" t="n">
        <x:v>46278</x:v>
      </x:c>
      <x:c r="D11" s="13" t="n">
        <x:v>46278</x:v>
      </x:c>
      <x:c r="E11" s="10" t="str">
        <x:v>SUP-NORTHFROST</x:v>
      </x:c>
      <x:c r="F11" s="10" t="str">
        <x:v>NF-OIL-20L</x:v>
      </x:c>
      <x:c r="G11" s="9" t="str">
        <x:v>B-0911</x:v>
      </x:c>
      <x:c r="H11" s="12" t="n">
        <x:v>30</x:v>
      </x:c>
      <x:c r="I11" s="9" t="str">
        <x:v>L</x:v>
      </x:c>
      <x:c r="J11" s="10" t="str">
        <x:v>Synthetic receiving document</x:v>
      </x:c>
      <x:c r="K11" s="1"/>
    </x:row>
    <x:row r="12" ht="24" customHeight="1">
      <x:c r="A12" s="10" t="str">
        <x:v>RCV-0007</x:v>
      </x:c>
      <x:c r="B12" s="10" t="str">
        <x:v>GRN-0007-1</x:v>
      </x:c>
      <x:c r="C12" s="13" t="n">
        <x:v>46280</x:v>
      </x:c>
      <x:c r="D12" s="13" t="n">
        <x:v>46280</x:v>
      </x:c>
      <x:c r="E12" s="10" t="str">
        <x:v>MILLERS-DIRECT</x:v>
      </x:c>
      <x:c r="F12" s="10" t="str">
        <x:v>MD-SGR-1K</x:v>
      </x:c>
      <x:c r="G12" s="9" t="str">
        <x:v>B-0913</x:v>
      </x:c>
      <x:c r="H12" s="12" t="n">
        <x:v>400</x:v>
      </x:c>
      <x:c r="I12" s="9" t="str">
        <x:v>kg</x:v>
      </x:c>
      <x:c r="J12" s="10" t="str">
        <x:v>Synthetic receiving document</x:v>
      </x:c>
      <x:c r="K12" s="1"/>
    </x:row>
    <x:row r="13" ht="24" customHeight="1">
      <x:c r="A13" s="10" t="str">
        <x:v>RCV-0008</x:v>
      </x:c>
      <x:c r="B13" s="10" t="str">
        <x:v>GRN-0008-1</x:v>
      </x:c>
      <x:c r="C13" s="13" t="n">
        <x:v>46282</x:v>
      </x:c>
      <x:c r="D13" s="13" t="n">
        <x:v>46282</x:v>
      </x:c>
      <x:c r="E13" s="10" t="str">
        <x:v>DAIRYLAND</x:v>
      </x:c>
      <x:c r="F13" s="10" t="str">
        <x:v>DL-SAU-4K</x:v>
      </x:c>
      <x:c r="G13" s="9" t="str">
        <x:v>B-0915</x:v>
      </x:c>
      <x:c r="H13" s="12" t="n">
        <x:v>45</x:v>
      </x:c>
      <x:c r="I13" s="9" t="str">
        <x:v>kg</x:v>
      </x:c>
      <x:c r="J13" s="10" t="str">
        <x:v>Synthetic receiving document</x:v>
      </x:c>
      <x:c r="K13" s="1"/>
    </x:row>
    <x:row r="14" ht="24" customHeight="1">
      <x:c r="A14" s="10" t="str">
        <x:v>RCV-0009</x:v>
      </x:c>
      <x:c r="B14" s="10" t="str">
        <x:v>GRN-0009-1</x:v>
      </x:c>
      <x:c r="C14" s="13" t="n">
        <x:v>46284</x:v>
      </x:c>
      <x:c r="D14" s="13" t="n">
        <x:v>46284</x:v>
      </x:c>
      <x:c r="E14" s="10" t="str">
        <x:v>SUP-NORTHFROST</x:v>
      </x:c>
      <x:c r="F14" s="10" t="str">
        <x:v>NF-MAN-5</x:v>
      </x:c>
      <x:c r="G14" s="9" t="str">
        <x:v>B-0917</x:v>
      </x:c>
      <x:c r="H14" s="12" t="n">
        <x:v>60</x:v>
      </x:c>
      <x:c r="I14" s="9" t="str">
        <x:v>kg</x:v>
      </x:c>
      <x:c r="J14" s="10" t="str">
        <x:v>Synthetic receiving document</x:v>
      </x:c>
      <x:c r="K14" s="1"/>
    </x:row>
    <x:row r="15" ht="24" customHeight="1">
      <x:c r="A15" s="10" t="str">
        <x:v>RCV-0010</x:v>
      </x:c>
      <x:c r="B15" s="10" t="str">
        <x:v>GRN-0010-1</x:v>
      </x:c>
      <x:c r="C15" s="13" t="n">
        <x:v>46286</x:v>
      </x:c>
      <x:c r="D15" s="13" t="n">
        <x:v>46286</x:v>
      </x:c>
      <x:c r="E15" s="10" t="str">
        <x:v>SUP-NORTHFROST</x:v>
      </x:c>
      <x:c r="F15" s="10" t="str">
        <x:v>NF-BER-10</x:v>
      </x:c>
      <x:c r="G15" s="9" t="str">
        <x:v>B-0919</x:v>
      </x:c>
      <x:c r="H15" s="12" t="n">
        <x:v>13</x:v>
      </x:c>
      <x:c r="I15" s="9" t="str">
        <x:v>CASE</x:v>
      </x:c>
      <x:c r="J15" s="10" t="str">
        <x:v>Synthetic receiving document</x:v>
      </x:c>
      <x:c r="K15" s="1"/>
    </x:row>
    <x:row r="16" ht="24" customHeight="1">
      <x:c r="A16" s="10" t="str">
        <x:v>RCV-0011</x:v>
      </x:c>
      <x:c r="B16" s="10" t="str">
        <x:v>GRN-0011-1</x:v>
      </x:c>
      <x:c r="C16" s="13" t="n">
        <x:v>46288</x:v>
      </x:c>
      <x:c r="D16" s="13" t="n">
        <x:v>46288</x:v>
      </x:c>
      <x:c r="E16" s="10" t="str">
        <x:v>SUNCOAST-BEV</x:v>
      </x:c>
      <x:c r="F16" s="10" t="str">
        <x:v>SC-JCE-20L</x:v>
      </x:c>
      <x:c r="G16" s="9" t="str">
        <x:v>B-0921</x:v>
      </x:c>
      <x:c r="H16" s="12" t="n">
        <x:v>55</x:v>
      </x:c>
      <x:c r="I16" s="9" t="str">
        <x:v>L</x:v>
      </x:c>
      <x:c r="J16" s="10" t="str">
        <x:v>Synthetic receiving document</x:v>
      </x:c>
      <x:c r="K16" s="1"/>
    </x:row>
    <x:row r="17" ht="24" customHeight="1">
      <x:c r="A17" s="10" t="str">
        <x:v>RCV-0012</x:v>
      </x:c>
      <x:c r="B17" s="10" t="str">
        <x:v>GRN-0012-1</x:v>
      </x:c>
      <x:c r="C17" s="13" t="n">
        <x:v>46290</x:v>
      </x:c>
      <x:c r="D17" s="13" t="n">
        <x:v>46290</x:v>
      </x:c>
      <x:c r="E17" s="10" t="str">
        <x:v>SUP-NORTHFROST</x:v>
      </x:c>
      <x:c r="F17" s="10" t="str">
        <x:v>NF-AMB-01</x:v>
      </x:c>
      <x:c r="G17" s="9" t="str">
        <x:v>B-0923</x:v>
      </x:c>
      <x:c r="H17" s="12" t="n">
        <x:v>25</x:v>
      </x:c>
      <x:c r="I17" s="9" t="str">
        <x:v>kg</x:v>
      </x:c>
      <x:c r="J17" s="10" t="str">
        <x:v>Synthetic receiving document</x:v>
      </x:c>
      <x:c r="K17" s="1"/>
    </x:row>
    <x:row r="18" ht="24" customHeight="1">
      <x:c r="A18" s="10" t="str">
        <x:v>RCV-0013</x:v>
      </x:c>
      <x:c r="B18" s="10" t="str">
        <x:v>GRN-0013-1</x:v>
      </x:c>
      <x:c r="C18" s="13" t="n">
        <x:v>46292</x:v>
      </x:c>
      <x:c r="D18" s="13" t="n">
        <x:v>46292</x:v>
      </x:c>
      <x:c r="E18" s="10" t="str">
        <x:v>MILLERS-DIRECT</x:v>
      </x:c>
      <x:c r="F18" s="10" t="str">
        <x:v>MD-FLU-25</x:v>
      </x:c>
      <x:c r="G18" s="9" t="str">
        <x:v>B-0925</x:v>
      </x:c>
      <x:c r="H18" s="12" t="n">
        <x:v>90</x:v>
      </x:c>
      <x:c r="I18" s="9" t="str">
        <x:v>kg</x:v>
      </x:c>
      <x:c r="J18" s="10" t="str">
        <x:v>Synthetic receiving document</x:v>
      </x:c>
      <x:c r="K18" s="1"/>
    </x:row>
    <x:row r="19" ht="24" customHeight="1">
      <x:c r="A19" s="10" t="str">
        <x:v>RCV-0014</x:v>
      </x:c>
      <x:c r="B19" s="10" t="str">
        <x:v>GRN-0014-1</x:v>
      </x:c>
      <x:c r="C19" s="13" t="n">
        <x:v>46294</x:v>
      </x:c>
      <x:c r="D19" s="13" t="n">
        <x:v>46294</x:v>
      </x:c>
      <x:c r="E19" s="10" t="str">
        <x:v>LEGACY-FROST</x:v>
      </x:c>
      <x:c r="F19" s="10" t="str">
        <x:v>LF-BER-OLD</x:v>
      </x:c>
      <x:c r="G19" s="9" t="str">
        <x:v>B-0927</x:v>
      </x:c>
      <x:c r="H19" s="12" t="n">
        <x:v>40</x:v>
      </x:c>
      <x:c r="I19" s="9" t="str">
        <x:v>kg</x:v>
      </x:c>
      <x:c r="J19" s="10" t="str">
        <x:v>Synthetic receiving document</x:v>
      </x:c>
      <x:c r="K19" s="1"/>
    </x:row>
    <x:row r="20" ht="24" customHeight="1">
      <x:c r="A20" s="10" t="str">
        <x:v>RCV-0015</x:v>
      </x:c>
      <x:c r="B20" s="10" t="str">
        <x:v>GRN-0015-1</x:v>
      </x:c>
      <x:c r="C20" s="13" t="n">
        <x:v>46281</x:v>
      </x:c>
      <x:c r="D20" s="13" t="n">
        <x:v>46297</x:v>
      </x:c>
      <x:c r="E20" s="10" t="str">
        <x:v>SUNCOAST-BEV</x:v>
      </x:c>
      <x:c r="F20" s="10" t="str">
        <x:v>SC-JCE-20L</x:v>
      </x:c>
      <x:c r="G20" s="9" t="str">
        <x:v>B-0914</x:v>
      </x:c>
      <x:c r="H20" s="12" t="n">
        <x:v>60</x:v>
      </x:c>
      <x:c r="I20" s="9" t="str">
        <x:v>L</x:v>
      </x:c>
      <x:c r="J20" s="10" t="str">
        <x:v>Synthetic receiving document</x:v>
      </x:c>
      <x:c r="K20" s="1"/>
    </x:row>
    <x:row r="21" ht="24" customHeight="1">
      <x:c r="A21" s="10" t="str">
        <x:v>RCV-0016</x:v>
      </x:c>
      <x:c r="B21" s="10" t="str">
        <x:v>GRN-0004-1</x:v>
      </x:c>
      <x:c r="C21" s="13" t="n">
        <x:v>46266</x:v>
      </x:c>
      <x:c r="D21" s="13" t="n">
        <x:v>46266</x:v>
      </x:c>
      <x:c r="E21" s="10" t="str">
        <x:v>SUP-NORTHFROST</x:v>
      </x:c>
      <x:c r="F21" s="10" t="str">
        <x:v>NF-BER-10</x:v>
      </x:c>
      <x:c r="G21" s="9" t="str">
        <x:v>B-0907</x:v>
      </x:c>
      <x:c r="H21" s="12" t="n">
        <x:v>12</x:v>
      </x:c>
      <x:c r="I21" s="9" t="str">
        <x:v>CASE</x:v>
      </x:c>
      <x:c r="J21" s="10" t="str">
        <x:v>Duplicate import of GRN-0004-1</x:v>
      </x:c>
      <x:c r="K21" s="1"/>
    </x:row>
    <x:row r="22" ht="24" customHeight="1">
      <x:c r="A22" s="10" t="str">
        <x:v>RCV-0017</x:v>
      </x:c>
      <x:c r="B22" s="10" t="str">
        <x:v>GRN-0017-1</x:v>
      </x:c>
      <x:c r="C22" s="13" t="n">
        <x:v>46271</x:v>
      </x:c>
      <x:c r="D22" s="13" t="n">
        <x:v>46271</x:v>
      </x:c>
      <x:c r="E22" s="10" t="str">
        <x:v>SUP-NORTHFROST</x:v>
      </x:c>
      <x:c r="F22" s="10" t="str">
        <x:v>NF-MAN-5</x:v>
      </x:c>
      <x:c r="G22" s="9" t="str">
        <x:v>B-0904</x:v>
      </x:c>
      <x:c r="H22" s="12" t="n">
        <x:v>55</x:v>
      </x:c>
      <x:c r="I22" s="9" t="str">
        <x:v>kg</x:v>
      </x:c>
      <x:c r="J22" s="10" t="str">
        <x:v>Synthetic receiving document</x:v>
      </x:c>
      <x:c r="K22" s="1"/>
    </x:row>
    <x:row r="23" ht="24" customHeight="1">
      <x:c r="A23" s="10" t="str">
        <x:v>RCV-0018</x:v>
      </x:c>
      <x:c r="B23" s="10" t="str">
        <x:v>GRN-0018-1</x:v>
      </x:c>
      <x:c r="C23" s="13" t="n">
        <x:v>46275</x:v>
      </x:c>
      <x:c r="D23" s="13" t="n">
        <x:v>46275</x:v>
      </x:c>
      <x:c r="E23" s="10" t="str">
        <x:v>MILLERS-DIRECT</x:v>
      </x:c>
      <x:c r="F23" s="10" t="str">
        <x:v>MD-SGR-1K</x:v>
      </x:c>
      <x:c r="G23" s="9" t="str">
        <x:v>B-0908</x:v>
      </x:c>
      <x:c r="H23" s="12" t="n">
        <x:v>380</x:v>
      </x:c>
      <x:c r="I23" s="9" t="str">
        <x:v>kg</x:v>
      </x:c>
      <x:c r="J23" s="10" t="str">
        <x:v>Synthetic receiving document</x:v>
      </x:c>
      <x:c r="K23" s="1"/>
    </x:row>
    <x:row r="24" ht="24" customHeight="1">
      <x:c r="A24" s="10" t="str">
        <x:v>RCV-0019</x:v>
      </x:c>
      <x:c r="B24" s="10" t="str">
        <x:v>GRN-0019-1</x:v>
      </x:c>
      <x:c r="C24" s="13" t="n">
        <x:v>46277</x:v>
      </x:c>
      <x:c r="D24" s="13" t="n">
        <x:v>46277</x:v>
      </x:c>
      <x:c r="E24" s="10" t="str">
        <x:v>DAIRYLAND</x:v>
      </x:c>
      <x:c r="F24" s="10" t="str">
        <x:v>DL-SAU-4K</x:v>
      </x:c>
      <x:c r="G24" s="9" t="str">
        <x:v>B-0910</x:v>
      </x:c>
      <x:c r="H24" s="12" t="n">
        <x:v>42</x:v>
      </x:c>
      <x:c r="I24" s="9" t="str">
        <x:v>kg</x:v>
      </x:c>
      <x:c r="J24" s="10" t="str">
        <x:v>Synthetic receiving document</x:v>
      </x:c>
      <x:c r="K24" s="1"/>
    </x:row>
    <x:row r="25" ht="24" customHeight="1">
      <x:c r="A25" s="10" t="str">
        <x:v>RCV-0020</x:v>
      </x:c>
      <x:c r="B25" s="10" t="str">
        <x:v>GRN-0020-1</x:v>
      </x:c>
      <x:c r="C25" s="13" t="n">
        <x:v>46287</x:v>
      </x:c>
      <x:c r="D25" s="13" t="n">
        <x:v>46287</x:v>
      </x:c>
      <x:c r="E25" s="10" t="str">
        <x:v>SUNCOAST-BEV</x:v>
      </x:c>
      <x:c r="F25" s="10" t="str">
        <x:v>SC-PAS-3KG</x:v>
      </x:c>
      <x:c r="G25" s="9" t="str">
        <x:v>B-0920</x:v>
      </x:c>
      <x:c r="H25" s="12" t="n">
        <x:v>95</x:v>
      </x:c>
      <x:c r="I25" s="9" t="str">
        <x:v>kg</x:v>
      </x:c>
      <x:c r="J25" s="10" t="str">
        <x:v>Synthetic receiving document</x:v>
      </x:c>
      <x:c r="K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4" customHeight="1">
      <x:c r="A28" s="1" t="str">
        <x:v>Source: synthetic goods_received.csv. Raw receipt quantities and UoMs are retained.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4" customHeight="1">
      <x:c r="A30" s="1" t="str">
        <x:v>September receipt-date restatement, including postings known by 2 October 2026.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</x:sheetData>
  <x:pageMargins left="0.7" right="0.7" top="0.75" bottom="0.75" header="0.3" footer="0.3"/>
  <x:tableParts count="1">
    <x:tablePart xmlns:r="http://schemas.openxmlformats.org/officeDocument/2006/relationships" r:id="Rc977a7a58be04e12"/>
  </x:tableParts>
</x:worksheet>
</file>

<file path=xl/worksheets/sheet3.xml><?xml version="1.0" encoding="utf-8"?>
<x:worksheet xmlns:x="http://schemas.openxmlformats.org/spreadsheetml/2006/main">
  <x:sheetPr>
    <x:tabColor rgb="FF243E7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40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3. Discrepancy and impact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Different impact categories overlap. Conditional held-stock values are not posted amounts or confirmed losses.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8" t="str">
        <x:v>Case</x:v>
      </x:c>
      <x:c r="B5" s="8" t="str">
        <x:v>Category</x:v>
      </x:c>
      <x:c r="C5" s="8" t="str">
        <x:v>Affected SKU(s)</x:v>
      </x:c>
      <x:c r="D5" s="8" t="str">
        <x:v>Batch(es)</x:v>
      </x:c>
      <x:c r="E5" s="8" t="str">
        <x:v>Impact qty</x:v>
      </x:c>
      <x:c r="F5" s="8" t="str">
        <x:v>UoM</x:v>
      </x:c>
      <x:c r="G5" s="8" t="str">
        <x:v>Amount NZD</x:v>
      </x:c>
      <x:c r="H5" s="8" t="str">
        <x:v>Candidate low NZD</x:v>
      </x:c>
      <x:c r="I5" s="8" t="str">
        <x:v>Candidate high NZD</x:v>
      </x:c>
      <x:c r="J5" s="8" t="str">
        <x:v>Status</x:v>
      </x:c>
      <x:c r="K5" s="1"/>
      <x:c r="L5" s="1"/>
    </x:row>
    <x:row r="6" ht="24" customHeight="1">
      <x:c r="A6" s="10" t="str">
        <x:v>CASE-001</x:v>
      </x:c>
      <x:c r="B6" s="10" t="str">
        <x:v>pack_quantity_correction</x:v>
      </x:c>
      <x:c r="C6" s="10" t="str">
        <x:v>SKU-FZN-BER-001</x:v>
      </x:c>
      <x:c r="D6" s="10" t="str">
        <x:v>B-0901; B-0907; B-0919</x:v>
      </x:c>
      <x:c r="E6" s="12" t="n">
        <x:f>('08 Receipt Calc'!L6-'08 Receipt Calc'!K6)+('08 Receipt Calc'!L9-'08 Receipt Calc'!K9)+('08 Receipt Calc'!L15-'08 Receipt Calc'!K15)</x:f>
        <x:v>74</x:v>
      </x:c>
      <x:c r="F6" s="9" t="str">
        <x:v>kg</x:v>
      </x:c>
      <x:c r="G6" s="11" t="n">
        <x:f>SUM('08 Receipt Calc'!P6:P25)</x:f>
        <x:v>629</x:v>
      </x:c>
      <x:c r="H6" s="11"/>
      <x:c r="I6" s="11"/>
      <x:c r="J6" s="9" t="str">
        <x:v>closed</x:v>
      </x:c>
      <x:c r="K6" s="1"/>
      <x:c r="L6" s="1"/>
    </x:row>
    <x:row r="7" ht="24" customHeight="1">
      <x:c r="A7" s="10" t="str">
        <x:v>CASE-002</x:v>
      </x:c>
      <x:c r="B7" s="10" t="str">
        <x:v>approved_unit_conversion</x:v>
      </x:c>
      <x:c r="C7" s="10" t="str">
        <x:v>SKU-APL-JCE-003</x:v>
      </x:c>
      <x:c r="D7" s="10" t="str">
        <x:v>B-0903; B-0914; B-0921</x:v>
      </x:c>
      <x:c r="E7" s="12" t="n">
        <x:f>'08 Receipt Calc'!L7+'08 Receipt Calc'!L16+'08 Receipt Calc'!L20</x:f>
        <x:v>156.75</x:v>
      </x:c>
      <x:c r="F7" s="9" t="str">
        <x:v>kg</x:v>
      </x:c>
      <x:c r="G7" s="11" t="n">
        <x:f>SUM('08 Receipt Calc'!Q6:Q25)</x:f>
        <x:v>501.6</x:v>
      </x:c>
      <x:c r="H7" s="11"/>
      <x:c r="I7" s="11"/>
      <x:c r="J7" s="9" t="str">
        <x:v>closed</x:v>
      </x:c>
      <x:c r="K7" s="1"/>
      <x:c r="L7" s="1"/>
    </x:row>
    <x:row r="8" ht="24" customHeight="1">
      <x:c r="A8" s="10" t="str">
        <x:v>CASE-003</x:v>
      </x:c>
      <x:c r="B8" s="10" t="str">
        <x:v>duplicate_import_excluded</x:v>
      </x:c>
      <x:c r="C8" s="10" t="str">
        <x:v>SKU-FZN-BER-001</x:v>
      </x:c>
      <x:c r="D8" s="10" t="str">
        <x:v>B-0907</x:v>
      </x:c>
      <x:c r="E8" s="12" t="n">
        <x:f>'08 Receipt Calc'!L21</x:f>
        <x:v>144</x:v>
      </x:c>
      <x:c r="F8" s="9" t="str">
        <x:v>kg</x:v>
      </x:c>
      <x:c r="G8" s="11" t="n">
        <x:f>'08 Receipt Calc'!O21</x:f>
        <x:v>1224</x:v>
      </x:c>
      <x:c r="H8" s="11"/>
      <x:c r="I8" s="11"/>
      <x:c r="J8" s="9" t="str">
        <x:v>closed</x:v>
      </x:c>
      <x:c r="K8" s="1"/>
      <x:c r="L8" s="1"/>
    </x:row>
    <x:row r="9" ht="24" customHeight="1">
      <x:c r="A9" s="10" t="str">
        <x:v>CASE-004</x:v>
      </x:c>
      <x:c r="B9" s="10" t="str">
        <x:v>late_posting</x:v>
      </x:c>
      <x:c r="C9" s="10" t="str">
        <x:v>SKU-APL-JCE-003</x:v>
      </x:c>
      <x:c r="D9" s="10" t="str">
        <x:v>B-0914</x:v>
      </x:c>
      <x:c r="E9" s="12" t="n">
        <x:f>'08 Receipt Calc'!L20</x:f>
        <x:v>57</x:v>
      </x:c>
      <x:c r="F9" s="9" t="str">
        <x:v>kg</x:v>
      </x:c>
      <x:c r="G9" s="11" t="n">
        <x:f>'08 Receipt Calc'!O20</x:f>
        <x:v>182.4</x:v>
      </x:c>
      <x:c r="H9" s="11"/>
      <x:c r="I9" s="11"/>
      <x:c r="J9" s="9" t="str">
        <x:v>closed</x:v>
      </x:c>
      <x:c r="K9" s="1"/>
      <x:c r="L9" s="1"/>
    </x:row>
    <x:row r="10" ht="24" customHeight="1">
      <x:c r="A10" s="10" t="str">
        <x:v>CASE-006</x:v>
      </x:c>
      <x:c r="B10" s="10" t="str">
        <x:v>ambiguous_mapping</x:v>
      </x:c>
      <x:c r="C10" s="10" t="str">
        <x:v>SKU-FLU-WHT-006; SKU-FZN-BER-001</x:v>
      </x:c>
      <x:c r="D10" s="10" t="str">
        <x:v>B-0923</x:v>
      </x:c>
      <x:c r="E10" s="12" t="n">
        <x:v>25</x:v>
      </x:c>
      <x:c r="F10" s="9" t="str">
        <x:v>kg</x:v>
      </x:c>
      <x:c r="G10" s="11"/>
      <x:c r="H10" s="11" t="n">
        <x:v>40</x:v>
      </x:c>
      <x:c r="I10" s="11" t="n">
        <x:v>212.5</x:v>
      </x:c>
      <x:c r="J10" s="9" t="str">
        <x:v>open</x:v>
      </x:c>
      <x:c r="K10" s="1"/>
      <x:c r="L10" s="1"/>
    </x:row>
    <x:row r="11" ht="24" customHeight="1">
      <x:c r="A11" s="10" t="str">
        <x:v>CASE-005</x:v>
      </x:c>
      <x:c r="B11" s="10" t="str">
        <x:v>expired_mapping</x:v>
      </x:c>
      <x:c r="C11" s="10" t="str">
        <x:v>SKU-FZN-BER-001</x:v>
      </x:c>
      <x:c r="D11" s="10" t="str">
        <x:v>B-0927</x:v>
      </x:c>
      <x:c r="E11" s="12" t="n">
        <x:v>40</x:v>
      </x:c>
      <x:c r="F11" s="9" t="str">
        <x:v>kg</x:v>
      </x:c>
      <x:c r="G11" s="11"/>
      <x:c r="H11" s="11" t="n">
        <x:v>340</x:v>
      </x:c>
      <x:c r="I11" s="11" t="n">
        <x:v>340</x:v>
      </x:c>
      <x:c r="J11" s="9" t="str">
        <x:v>open</x:v>
      </x:c>
      <x:c r="K11" s="1"/>
      <x:c r="L11" s="1"/>
    </x:row>
    <x:row r="12" ht="24" customHeight="1">
      <x:c r="A12" s="10" t="str">
        <x:v>CASE-007</x:v>
      </x:c>
      <x:c r="B12" s="10" t="str">
        <x:v>residual_inventory_variance</x:v>
      </x:c>
      <x:c r="C12" s="10" t="str">
        <x:v>SKU-FZN-MAN-002</x:v>
      </x:c>
      <x:c r="D12" s="10" t="str">
        <x:v>Pending: SKU-level counts; batch attribution unconfirmed</x:v>
      </x:c>
      <x:c r="E12" s="12" t="n">
        <x:f>'07 Inventory'!K7</x:f>
        <x:v>-3</x:v>
      </x:c>
      <x:c r="F12" s="9" t="str">
        <x:v>kg</x:v>
      </x:c>
      <x:c r="G12" s="11" t="n">
        <x:f>'07 Inventory'!N7</x:f>
        <x:v>-18</x:v>
      </x:c>
      <x:c r="H12" s="11"/>
      <x:c r="I12" s="11"/>
      <x:c r="J12" s="9" t="str">
        <x:v>open</x:v>
      </x:c>
      <x:c r="K12" s="1"/>
      <x:c r="L12" s="1"/>
    </x:row>
    <x:row r="13" ht="24" customHeight="1">
      <x:c r="A13" s="10" t="str">
        <x:v>CASE-020</x:v>
      </x:c>
      <x:c r="B13" s="10" t="str">
        <x:v>production_material_risk</x:v>
      </x:c>
      <x:c r="C13" s="10" t="str">
        <x:v>SKU-FZN-BER-001</x:v>
      </x:c>
      <x:c r="D13" s="10" t="str">
        <x:v>Not allocated: SKU-level production requirement</x:v>
      </x:c>
      <x:c r="E13" s="12" t="n">
        <x:f>'10 Production'!G6</x:f>
        <x:v>16</x:v>
      </x:c>
      <x:c r="F13" s="9" t="str">
        <x:v>kg</x:v>
      </x:c>
      <x:c r="G13" s="11" t="n">
        <x:f>'10 Production'!I6</x:f>
        <x:v>136</x:v>
      </x:c>
      <x:c r="H13" s="11"/>
      <x:c r="I13" s="11"/>
      <x:c r="J13" s="9" t="str">
        <x:v>open</x:v>
      </x:c>
      <x:c r="K13" s="1"/>
      <x:c r="L13" s="1"/>
    </x:row>
    <x:row r="14" ht="24" customHeight="1">
      <x:c r="A14" s="10" t="str">
        <x:v>CASE-021</x:v>
      </x:c>
      <x:c r="B14" s="10" t="str">
        <x:v>production_material_risk</x:v>
      </x:c>
      <x:c r="C14" s="10" t="str">
        <x:v>SKU-APL-JCE-003</x:v>
      </x:c>
      <x:c r="D14" s="10" t="str">
        <x:v>Not allocated: SKU-level production requirement</x:v>
      </x:c>
      <x:c r="E14" s="12" t="n">
        <x:f>'10 Production'!G8</x:f>
        <x:v>13.25</x:v>
      </x:c>
      <x:c r="F14" s="9" t="str">
        <x:v>kg</x:v>
      </x:c>
      <x:c r="G14" s="11" t="n">
        <x:f>'10 Production'!I8</x:f>
        <x:v>42.400000000000006</x:v>
      </x:c>
      <x:c r="H14" s="11"/>
      <x:c r="I14" s="11"/>
      <x:c r="J14" s="9" t="str">
        <x:v>open</x:v>
      </x:c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 t="str">
        <x:v>Blank confirmed amount = pending SKU confirmation. Candidate ranges are conditional, never zero-valued certainty.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 t="str">
        <x:v>Production amounts value material shortfalls only. No downtime, revenue loss or realised savings is calculated.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pageMargins left="0.7" right="0.7" top="0.75" bottom="0.75" header="0.3" footer="0.3"/>
  <x:tableParts count="1">
    <x:tablePart xmlns:r="http://schemas.openxmlformats.org/officeDocument/2006/relationships" r:id="Rba888b3527f34488"/>
  </x:tableParts>
</x:worksheet>
</file>

<file path=xl/worksheets/sheet4.xml><?xml version="1.0" encoding="utf-8"?>
<x:worksheet xmlns:x="http://schemas.openxmlformats.org/spreadsheetml/2006/main">
  <x:sheetPr>
    <x:tabColor rgb="FF243E7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40" hidden="0" customWidth="1"/>
    <x:col min="4" max="4" width="33" hidden="0" customWidth="1"/>
    <x:col min="5" max="5" width="6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4. Handling decisions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Simulated approvals preserve baseline history and retain rejected requests.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8" customHeight="1">
      <x:c r="A5" s="8" t="str">
        <x:v>Change request</x:v>
      </x:c>
      <x:c r="B5" s="8" t="str">
        <x:v>Decision</x:v>
      </x:c>
      <x:c r="C5" s="8" t="str">
        <x:v>Approver</x:v>
      </x:c>
      <x:c r="D5" s="8" t="str">
        <x:v>Timestamp (UTC)</x:v>
      </x:c>
      <x:c r="E5" s="8" t="str">
        <x:v>Reason</x:v>
      </x:c>
      <x:c r="F5" s="8" t="str">
        <x:v>Evidence</x:v>
      </x:c>
      <x:c r="G5" s="1"/>
      <x:c r="H5" s="1"/>
      <x:c r="I5" s="1"/>
      <x:c r="J5" s="1"/>
    </x:row>
    <x:row r="6" ht="48" customHeight="1">
      <x:c r="A6" s="10" t="str">
        <x:v>CR-001</x:v>
      </x:c>
      <x:c r="B6" s="10" t="str">
        <x:v>approve</x:v>
      </x:c>
      <x:c r="C6" s="10" t="str">
        <x:v>master-data-lead@example.com</x:v>
      </x:c>
      <x:c r="D6" s="15" t="d">
        <x:v>2026-10-01T09:00:00.000Z</x:v>
      </x:c>
      <x:c r="E6" s="10" t="str">
        <x:v>Supplier confirmed 12kg per case</x:v>
      </x:c>
      <x:c r="F6" s="10" t="str">
        <x:v>REP-001</x:v>
      </x:c>
      <x:c r="G6" s="1"/>
      <x:c r="H6" s="1"/>
      <x:c r="I6" s="1"/>
      <x:c r="J6" s="1"/>
    </x:row>
    <x:row r="7" ht="48" customHeight="1">
      <x:c r="A7" s="10" t="str">
        <x:v>CR-002</x:v>
      </x:c>
      <x:c r="B7" s="10" t="str">
        <x:v>approve</x:v>
      </x:c>
      <x:c r="C7" s="10" t="str">
        <x:v>master-data-lead@example.com</x:v>
      </x:c>
      <x:c r="D7" s="15" t="d">
        <x:v>2026-10-01T10:00:00.000Z</x:v>
      </x:c>
      <x:c r="E7" s="10" t="str">
        <x:v>Retirement confirmed; late receipt remains on hold</x:v>
      </x:c>
      <x:c r="F7" s="10" t="str">
        <x:v>TERM-002</x:v>
      </x:c>
      <x:c r="G7" s="1"/>
      <x:c r="H7" s="1"/>
      <x:c r="I7" s="1"/>
      <x:c r="J7" s="1"/>
    </x:row>
    <x:row r="8" ht="48" customHeight="1">
      <x:c r="A8" s="10" t="str">
        <x:v>CR-003</x:v>
      </x:c>
      <x:c r="B8" s="10" t="str">
        <x:v>reject</x:v>
      </x:c>
      <x:c r="C8" s="10" t="str">
        <x:v>master-data-lead@example.com</x:v>
      </x:c>
      <x:c r="D8" s="15" t="d">
        <x:v>2026-10-01T11:00:00.000Z</x:v>
      </x:c>
      <x:c r="E8" s="10" t="str">
        <x:v>Rejected: disputed SKU identity requires supplier clarification</x:v>
      </x:c>
      <x:c r="F8" s="10" t="str">
        <x:v>DIS-003</x:v>
      </x:c>
      <x:c r="G8" s="1"/>
      <x:c r="H8" s="1"/>
      <x:c r="I8" s="1"/>
      <x:c r="J8" s="1"/>
    </x:row>
    <x:row r="9" ht="48" customHeight="1">
      <x:c r="A9" s="10" t="str">
        <x:v>CR-004</x:v>
      </x:c>
      <x:c r="B9" s="10" t="str">
        <x:v>approve</x:v>
      </x:c>
      <x:c r="C9" s="10" t="str">
        <x:v>master-data-lead@example.com</x:v>
      </x:c>
      <x:c r="D9" s="15" t="d">
        <x:v>2026-10-01T12:00:00.000Z</x:v>
      </x:c>
      <x:c r="E9" s="10" t="str">
        <x:v>Approved synthetic density specification: 0.95 kg per litre</x:v>
      </x:c>
      <x:c r="F9" s="10" t="str">
        <x:v>DENS-004</x:v>
      </x:c>
      <x:c r="G9" s="1"/>
      <x:c r="H9" s="1"/>
      <x:c r="I9" s="1"/>
      <x:c r="J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4" customHeight="1">
      <x:c r="A13" s="1" t="str">
        <x:v>A retired mapping does not authorise a late receipt. Rejected identity changes remain on hold.</x:v>
      </x:c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4" customHeight="1">
      <x:c r="A15" s="1" t="str">
        <x:v>Reversal appends a revoke event and replays baseline. The audit ledger is never deleted for rollback.</x:v>
      </x:c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</x:sheetData>
  <x:pageMargins left="0.7" right="0.7" top="0.75" bottom="0.75" header="0.3" footer="0.3"/>
  <x:tableParts count="1">
    <x:tablePart xmlns:r="http://schemas.openxmlformats.org/officeDocument/2006/relationships" r:id="Rd9e03cede4cb46ed"/>
  </x:tableParts>
</x:worksheet>
</file>

<file path=xl/worksheets/sheet5.xml><?xml version="1.0" encoding="utf-8"?>
<x:worksheet xmlns:x="http://schemas.openxmlformats.org/spreadsheetml/2006/main">
  <x:sheetPr>
    <x:tabColor rgb="FF243E72"/>
  </x:sheetPr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5. Recalculation and verification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Before and after are independent runs. Amount changes are stock valuation effects, not savings.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8" t="str">
        <x:v>Metric</x:v>
      </x:c>
      <x:c r="B5" s="8" t="str">
        <x:v>Baseline</x:v>
      </x:c>
      <x:c r="C5" s="8" t="str">
        <x:v>Approved</x:v>
      </x:c>
      <x:c r="D5" s="8" t="str">
        <x:v>Change</x:v>
      </x:c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0" t="str">
        <x:v>Imported rows</x:v>
      </x:c>
      <x:c r="B6" s="9" t="n">
        <x:f>COUNTA('02 Evidence'!A6:A25)</x:f>
        <x:v>20</x:v>
      </x:c>
      <x:c r="C6" s="9" t="n">
        <x:f>COUNTA('08 Receipt Calc'!A6:A25)</x:f>
        <x:v>20</x:v>
      </x:c>
      <x:c r="D6" s="9" t="n">
        <x:f>C6-B6</x:f>
        <x:v>0</x:v>
      </x:c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0" t="str">
        <x:v>Reporting-ready rows</x:v>
      </x:c>
      <x:c r="B7" s="9" t="n">
        <x:f>COUNTIF('08 Receipt Calc'!B6:B25,"reporting_ready")</x:f>
        <x:v>14</x:v>
      </x:c>
      <x:c r="C7" s="9" t="n">
        <x:f>COUNTIF('08 Receipt Calc'!C6:C25,"reporting_ready")</x:f>
        <x:v>17</x:v>
      </x:c>
      <x:c r="D7" s="9" t="n">
        <x:f>C7-B7</x:f>
        <x:v>3</x:v>
      </x:c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0" t="str">
        <x:v>Review rows</x:v>
      </x:c>
      <x:c r="B8" s="9" t="n">
        <x:f>COUNTIF('08 Receipt Calc'!B6:B25,"review")</x:f>
        <x:v>5</x:v>
      </x:c>
      <x:c r="C8" s="9" t="n">
        <x:f>COUNTIF('08 Receipt Calc'!C6:C25,"review")</x:f>
        <x:v>2</x:v>
      </x:c>
      <x:c r="D8" s="9" t="n">
        <x:f>C8-B8</x:f>
        <x:v>-3</x:v>
      </x:c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0" t="str">
        <x:v>Duplicate excluded rows</x:v>
      </x:c>
      <x:c r="B9" s="9" t="n">
        <x:f>COUNTIF('08 Receipt Calc'!B6:B25,"duplicate_excluded")</x:f>
        <x:v>1</x:v>
      </x:c>
      <x:c r="C9" s="9" t="n">
        <x:f>COUNTIF('08 Receipt Calc'!C6:C25,"duplicate_excluded")</x:f>
        <x:v>1</x:v>
      </x:c>
      <x:c r="D9" s="9" t="n">
        <x:f>C9-B9</x:f>
        <x:v>0</x:v>
      </x:c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0" t="str">
        <x:v>Eligible receipt value NZD</x:v>
      </x:c>
      <x:c r="B10" s="11" t="n">
        <x:f>SUMIF('08 Receipt Calc'!B6:B25,"reporting_ready",'08 Receipt Calc'!N6:N25)</x:f>
        <x:v>6315</x:v>
      </x:c>
      <x:c r="C10" s="11" t="n">
        <x:f>SUMIF('08 Receipt Calc'!C6:C25,"reporting_ready",'08 Receipt Calc'!O6:O25)</x:f>
        <x:v>7445.599999999999</x:v>
      </x:c>
      <x:c r="D10" s="11" t="n">
        <x:f>C10-B10</x:f>
        <x:v>1130.5999999999995</x:v>
      </x:c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0" t="str">
        <x:v>Absolute inventory variance NZD</x:v>
      </x:c>
      <x:c r="B11" s="11" t="n">
        <x:f>SUMIF('07 Inventory'!M6:M13,"&gt;0",'07 Inventory'!M6:M13)-SUMIF('07 Inventory'!M6:M13,"&lt;0",'07 Inventory'!M6:M13)</x:f>
        <x:v>1148.6</x:v>
      </x:c>
      <x:c r="C11" s="11" t="n">
        <x:f>SUMIF('07 Inventory'!N6:N13,"&gt;0",'07 Inventory'!N6:N13)-SUMIF('07 Inventory'!N6:N13,"&lt;0",'07 Inventory'!N6:N13)</x:f>
        <x:v>18</x:v>
      </x:c>
      <x:c r="D11" s="11" t="n">
        <x:f>C11-B11</x:f>
        <x:v>-1130.6</x:v>
      </x:c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38" customHeight="1">
      <x:c r="A15" s="8" t="str">
        <x:v>Independent control</x:v>
      </x:c>
      <x:c r="B15" s="8" t="str">
        <x:v>Difference (must be 0)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9" t="str">
        <x:v>Source partitions</x:v>
      </x:c>
      <x:c r="B16" s="9" t="n">
        <x:f>C6-SUM(C7:C9)</x:f>
        <x:v>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9" t="str">
        <x:v>Workbook vs Python eligible row count</x:v>
      </x:c>
      <x:c r="B17" s="9" t="n">
        <x:f>C7-17</x:f>
        <x:v>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9" t="str">
        <x:v>Workbook vs Python eligible value</x:v>
      </x:c>
      <x:c r="B18" s="9" t="n">
        <x:f>ROUND(C10-7445.6,2)</x:f>
        <x:v>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conditionalFormatting sqref="B16:B18">
    <x:cfRule type="cellIs" dxfId="4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7b523cba1b9b4908"/>
  <x:tableParts count="2">
    <x:tablePart xmlns:r="http://schemas.openxmlformats.org/officeDocument/2006/relationships" r:id="R593436b75fd8460c"/>
    <x:tablePart xmlns:r="http://schemas.openxmlformats.org/officeDocument/2006/relationships" r:id="R4f83af3eddc94aa4"/>
  </x:tableParts>
</x:worksheet>
</file>

<file path=xl/worksheets/sheet6.xml><?xml version="1.0" encoding="utf-8"?>
<x:worksheet xmlns:x="http://schemas.openxmlformats.org/spreadsheetml/2006/main">
  <x:sheetPr>
    <x:tabColor rgb="FF243E7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38" hidden="0" customWidth="1"/>
    <x:col min="4" max="4" width="32" hidden="0" customWidth="1"/>
    <x:col min="5" max="5" width="42" hidden="0" customWidth="1"/>
    <x:col min="6" max="6" width="18" hidden="0" customWidth="1"/>
    <x:col min="7" max="7" width="18" hidden="0" customWidth="1"/>
    <x:col min="8" max="8" width="58" hidden="0" customWidth="1"/>
    <x:col min="9" max="9" width="6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6. Unresolved items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Snapshot as of 2 October 2026. Pipeline replay refreshes this evidence register after source changes.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8" t="str">
        <x:v>Case</x:v>
      </x:c>
      <x:c r="B5" s="8" t="str">
        <x:v>Issue</x:v>
      </x:c>
      <x:c r="C5" s="8" t="str">
        <x:v>SKU(s)</x:v>
      </x:c>
      <x:c r="D5" s="8" t="str">
        <x:v>Receipt / batch</x:v>
      </x:c>
      <x:c r="E5" s="8" t="str">
        <x:v>Owner</x:v>
      </x:c>
      <x:c r="F5" s="8" t="str">
        <x:v>Due date</x:v>
      </x:c>
      <x:c r="G5" s="8" t="str">
        <x:v>Deadline status</x:v>
      </x:c>
      <x:c r="H5" s="8" t="str">
        <x:v>Next action</x:v>
      </x:c>
      <x:c r="I5" s="8" t="str">
        <x:v>Verification result</x:v>
      </x:c>
      <x:c r="J5" s="1"/>
      <x:c r="K5" s="1"/>
      <x:c r="L5" s="1"/>
    </x:row>
    <x:row r="6" ht="65" customHeight="1">
      <x:c r="A6" s="10" t="str">
        <x:v>CASE-006</x:v>
      </x:c>
      <x:c r="B6" s="10" t="str">
        <x:v>ambiguous_mapping</x:v>
      </x:c>
      <x:c r="C6" s="10" t="str">
        <x:v>SKU-FLU-WHT-006; SKU-FZN-BER-001</x:v>
      </x:c>
      <x:c r="D6" s="10" t="str">
        <x:v>RCV-0012 / B-0923</x:v>
      </x:c>
      <x:c r="E6" s="10" t="str">
        <x:v>master-data-team@example.com</x:v>
      </x:c>
      <x:c r="F6" s="13" t="n">
        <x:v>46300</x:v>
      </x:c>
      <x:c r="G6" s="9" t="str">
        <x:f>IF(F6&lt;'09 Sources'!$B$23,"overdue",IF(F6='09 Sources'!$B$23,"due_today","scheduled"))</x:f>
        <x:v>scheduled</x:v>
      </x:c>
      <x:c r="H6" s="10" t="str">
        <x:v>CR-003 rejected; obtain written SKU confirmation</x:v>
      </x:c>
      <x:c r="I6" s="10" t="str">
        <x:v>Still excluded from eligible receipts and available counts; identity remains unconfirmed</x:v>
      </x:c>
      <x:c r="J6" s="1"/>
      <x:c r="K6" s="1"/>
      <x:c r="L6" s="1"/>
    </x:row>
    <x:row r="7" ht="65" customHeight="1">
      <x:c r="A7" s="10" t="str">
        <x:v>CASE-005</x:v>
      </x:c>
      <x:c r="B7" s="10" t="str">
        <x:v>expired_mapping</x:v>
      </x:c>
      <x:c r="C7" s="10" t="str">
        <x:v>SKU-FZN-BER-001</x:v>
      </x:c>
      <x:c r="D7" s="10" t="str">
        <x:v>RCV-0014 / B-0927</x:v>
      </x:c>
      <x:c r="E7" s="10" t="str">
        <x:v>procurement@example.com</x:v>
      </x:c>
      <x:c r="F7" s="13" t="n">
        <x:v>46297</x:v>
      </x:c>
      <x:c r="G7" s="9" t="str">
        <x:f>IF(F7&lt;'09 Sources'!$B$23,"overdue",IF(F7='09 Sources'!$B$23,"due_today","scheduled"))</x:f>
        <x:v>due_today</x:v>
      </x:c>
      <x:c r="H7" s="10" t="str">
        <x:v>CR-002 retirement confirmed; obtain valid delivery evidence or arrange return</x:v>
      </x:c>
      <x:c r="I7" s="10" t="str">
        <x:v>Still excluded from eligible receipts and available counts; identity remains unconfirmed</x:v>
      </x:c>
      <x:c r="J7" s="1"/>
      <x:c r="K7" s="1"/>
      <x:c r="L7" s="1"/>
    </x:row>
    <x:row r="8" ht="65" customHeight="1">
      <x:c r="A8" s="10" t="str">
        <x:v>CASE-007</x:v>
      </x:c>
      <x:c r="B8" s="10" t="str">
        <x:v>residual_inventory_variance</x:v>
      </x:c>
      <x:c r="C8" s="10" t="str">
        <x:v>SKU-FZN-MAN-002</x:v>
      </x:c>
      <x:c r="D8" s="10" t="str">
        <x:v>Pending: SKU-level counts; batch attribution unconfirmed</x:v>
      </x:c>
      <x:c r="E8" s="10" t="str">
        <x:v>warehouse-supervisor@example.com</x:v>
      </x:c>
      <x:c r="F8" s="13" t="n">
        <x:v>46297</x:v>
      </x:c>
      <x:c r="G8" s="9" t="str">
        <x:f>IF(F8&lt;'09 Sources'!$B$23,"overdue",IF(F8='09 Sources'!$B$23,"due_today","scheduled"))</x:f>
        <x:v>due_today</x:v>
      </x:c>
      <x:c r="H8" s="10" t="str">
        <x:v>Recount stock and verify production issue documents before adjustment</x:v>
      </x:c>
      <x:c r="I8" s="10" t="str">
        <x:v>Residual persists after replay; SKU-level count cannot attribute the shortage to a batch</x:v>
      </x:c>
      <x:c r="J8" s="1"/>
      <x:c r="K8" s="1"/>
      <x:c r="L8" s="1"/>
    </x:row>
    <x:row r="9" ht="65" customHeight="1">
      <x:c r="A9" s="10" t="str">
        <x:v>CASE-020</x:v>
      </x:c>
      <x:c r="B9" s="10" t="str">
        <x:v>production_material_risk</x:v>
      </x:c>
      <x:c r="C9" s="10" t="str">
        <x:v>SKU-FZN-BER-001</x:v>
      </x:c>
      <x:c r="D9" s="10" t="str">
        <x:v>Not allocated: SKU-level production requirement</x:v>
      </x:c>
      <x:c r="E9" s="10" t="str">
        <x:v>production-planner@example.com</x:v>
      </x:c>
      <x:c r="F9" s="13" t="n">
        <x:v>46297</x:v>
      </x:c>
      <x:c r="G9" s="9" t="str">
        <x:f>IF(F9&lt;'09 Sources'!$B$23,"overdue",IF(F9='09 Sources'!$B$23,"due_today","scheduled"))</x:f>
        <x:v>due_today</x:v>
      </x:c>
      <x:c r="H9" s="10" t="str">
        <x:v>Confirm supply or reschedule order</x:v>
      </x:c>
      <x:c r="I9" s="10" t="str">
        <x:v>Estimated material gap for 3 October; no lost production or sales value assumed</x:v>
      </x:c>
      <x:c r="J9" s="1"/>
      <x:c r="K9" s="1"/>
      <x:c r="L9" s="1"/>
    </x:row>
    <x:row r="10" ht="65" customHeight="1">
      <x:c r="A10" s="10" t="str">
        <x:v>CASE-021</x:v>
      </x:c>
      <x:c r="B10" s="10" t="str">
        <x:v>production_material_risk</x:v>
      </x:c>
      <x:c r="C10" s="10" t="str">
        <x:v>SKU-APL-JCE-003</x:v>
      </x:c>
      <x:c r="D10" s="10" t="str">
        <x:v>Not allocated: SKU-level production requirement</x:v>
      </x:c>
      <x:c r="E10" s="10" t="str">
        <x:v>production-planner@example.com</x:v>
      </x:c>
      <x:c r="F10" s="13" t="n">
        <x:v>46297</x:v>
      </x:c>
      <x:c r="G10" s="9" t="str">
        <x:f>IF(F10&lt;'09 Sources'!$B$23,"overdue",IF(F10='09 Sources'!$B$23,"due_today","scheduled"))</x:f>
        <x:v>due_today</x:v>
      </x:c>
      <x:c r="H10" s="10" t="str">
        <x:v>Confirm supply or reschedule order</x:v>
      </x:c>
      <x:c r="I10" s="10" t="str">
        <x:v>Estimated material gap for 3 October; no lost production or sales value assumed</x:v>
      </x:c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conditionalFormatting sqref="G6:G10">
    <x:cfRule type="containsText" dxfId="2" priority="1" operator="containsText" text="due_today"/>
    <x:cfRule type="containsText" dxfId="3" priority="2" operator="containsText" text="overdue"/>
  </x:conditionalFormatting>
  <x:pageMargins left="0.7" right="0.7" top="0.75" bottom="0.75" header="0.3" footer="0.3"/>
  <x:tableParts count="1">
    <x:tablePart xmlns:r="http://schemas.openxmlformats.org/officeDocument/2006/relationships" r:id="R82182a1e68324b52"/>
  </x:tableParts>
</x:worksheet>
</file>

<file path=xl/worksheets/sheet7.xml><?xml version="1.0" encoding="utf-8"?>
<x:worksheet xmlns:x="http://schemas.openxmlformats.org/spreadsheetml/2006/main">
  <x:sheetPr>
    <x:tabColor rgb="FFD9E2E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Eligible-stock inventory reconciliation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4" customHeight="1">
      <x:c r="A3" s="3" t="str">
        <x:v>Count minus expected = variance. Do not sum kg with litres. Held candidate receipts remain excluded.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8" customHeight="1">
      <x:c r="A5" s="8" t="str">
        <x:v>SKU</x:v>
      </x:c>
      <x:c r="B5" s="8" t="str">
        <x:v>UoM</x:v>
      </x:c>
      <x:c r="C5" s="8" t="str">
        <x:v>Opening</x:v>
      </x:c>
      <x:c r="D5" s="8" t="str">
        <x:v>Before receipts</x:v>
      </x:c>
      <x:c r="E5" s="8" t="str">
        <x:v>After receipts</x:v>
      </x:c>
      <x:c r="F5" s="8" t="str">
        <x:v>Signed issues</x:v>
      </x:c>
      <x:c r="G5" s="8" t="str">
        <x:v>Before expected</x:v>
      </x:c>
      <x:c r="H5" s="8" t="str">
        <x:v>After expected</x:v>
      </x:c>
      <x:c r="I5" s="8" t="str">
        <x:v>Counted close</x:v>
      </x:c>
      <x:c r="J5" s="8" t="str">
        <x:v>Before variance</x:v>
      </x:c>
      <x:c r="K5" s="8" t="str">
        <x:v>After variance</x:v>
      </x:c>
      <x:c r="L5" s="8" t="str">
        <x:v>Cost NZD/base</x:v>
      </x:c>
      <x:c r="M5" s="8" t="str">
        <x:v>Before variance NZD</x:v>
      </x:c>
      <x:c r="N5" s="8" t="str">
        <x:v>After variance NZD</x:v>
      </x:c>
      <x:c r="O5" s="1"/>
      <x:c r="P5" s="1"/>
    </x:row>
    <x:row r="6" ht="24" customHeight="1">
      <x:c r="A6" s="10" t="str">
        <x:v>SKU-FZN-BER-001</x:v>
      </x:c>
      <x:c r="B6" s="9" t="str">
        <x:v>kg</x:v>
      </x:c>
      <x:c r="C6" s="12" t="n">
        <x:f>'09 Sources'!E6</x:f>
        <x:v>500</x:v>
      </x:c>
      <x:c r="D6" s="12" t="n">
        <x:f>SUMIFS('08 Receipt Calc'!$K$6:$K$25,'08 Receipt Calc'!$D$6:$D$25,A6,'08 Receipt Calc'!$B$6:$B$25,"reporting_ready")</x:f>
        <x:v>370</x:v>
      </x:c>
      <x:c r="E6" s="12" t="n">
        <x:f>SUMIFS('08 Receipt Calc'!$L$6:$L$25,'08 Receipt Calc'!$D$6:$D$25,A6,'08 Receipt Calc'!$C$6:$C$25,"reporting_ready")</x:f>
        <x:v>444</x:v>
      </x:c>
      <x:c r="F6" s="12" t="n">
        <x:f>'09 Sources'!G6</x:f>
        <x:v>-300</x:v>
      </x:c>
      <x:c r="G6" s="12" t="n">
        <x:f>C6+D6+F6</x:f>
        <x:v>570</x:v>
      </x:c>
      <x:c r="H6" s="12" t="n">
        <x:f>C6+E6+F6</x:f>
        <x:v>644</x:v>
      </x:c>
      <x:c r="I6" s="12" t="n">
        <x:f>'09 Sources'!F6</x:f>
        <x:v>644</x:v>
      </x:c>
      <x:c r="J6" s="12" t="n">
        <x:f>I6-G6</x:f>
        <x:v>74</x:v>
      </x:c>
      <x:c r="K6" s="12" t="n">
        <x:f>I6-H6</x:f>
        <x:v>0</x:v>
      </x:c>
      <x:c r="L6" s="11" t="n">
        <x:f>'09 Sources'!D6</x:f>
        <x:v>8.5</x:v>
      </x:c>
      <x:c r="M6" s="11" t="n">
        <x:f>J6*L6</x:f>
        <x:v>629</x:v>
      </x:c>
      <x:c r="N6" s="11" t="n">
        <x:f>K6*L6</x:f>
        <x:v>0</x:v>
      </x:c>
      <x:c r="O6" s="1"/>
      <x:c r="P6" s="1"/>
    </x:row>
    <x:row r="7" ht="24" customHeight="1">
      <x:c r="A7" s="10" t="str">
        <x:v>SKU-FZN-MAN-002</x:v>
      </x:c>
      <x:c r="B7" s="9" t="str">
        <x:v>kg</x:v>
      </x:c>
      <x:c r="C7" s="12" t="n">
        <x:f>'09 Sources'!E7</x:f>
        <x:v>200</x:v>
      </x:c>
      <x:c r="D7" s="12" t="n">
        <x:f>SUMIFS('08 Receipt Calc'!$K$6:$K$25,'08 Receipt Calc'!$D$6:$D$25,A7,'08 Receipt Calc'!$B$6:$B$25,"reporting_ready")</x:f>
        <x:v>115</x:v>
      </x:c>
      <x:c r="E7" s="12" t="n">
        <x:f>SUMIFS('08 Receipt Calc'!$L$6:$L$25,'08 Receipt Calc'!$D$6:$D$25,A7,'08 Receipt Calc'!$C$6:$C$25,"reporting_ready")</x:f>
        <x:v>115</x:v>
      </x:c>
      <x:c r="F7" s="12" t="n">
        <x:f>'09 Sources'!G7</x:f>
        <x:v>-80</x:v>
      </x:c>
      <x:c r="G7" s="12" t="n">
        <x:f>C7+D7+F7</x:f>
        <x:v>235</x:v>
      </x:c>
      <x:c r="H7" s="12" t="n">
        <x:f>C7+E7+F7</x:f>
        <x:v>235</x:v>
      </x:c>
      <x:c r="I7" s="12" t="n">
        <x:f>'09 Sources'!F7</x:f>
        <x:v>232</x:v>
      </x:c>
      <x:c r="J7" s="12" t="n">
        <x:f>I7-G7</x:f>
        <x:v>-3</x:v>
      </x:c>
      <x:c r="K7" s="12" t="n">
        <x:f>I7-H7</x:f>
        <x:v>-3</x:v>
      </x:c>
      <x:c r="L7" s="11" t="n">
        <x:f>'09 Sources'!D7</x:f>
        <x:v>6</x:v>
      </x:c>
      <x:c r="M7" s="11" t="n">
        <x:f>J7*L7</x:f>
        <x:v>-18</x:v>
      </x:c>
      <x:c r="N7" s="11" t="n">
        <x:f>K7*L7</x:f>
        <x:v>-18</x:v>
      </x:c>
      <x:c r="O7" s="1"/>
      <x:c r="P7" s="1"/>
    </x:row>
    <x:row r="8" ht="24" customHeight="1">
      <x:c r="A8" s="10" t="str">
        <x:v>SKU-APL-JCE-003</x:v>
      </x:c>
      <x:c r="B8" s="9" t="str">
        <x:v>kg</x:v>
      </x:c>
      <x:c r="C8" s="12" t="n">
        <x:f>'09 Sources'!E8</x:f>
        <x:v>100</x:v>
      </x:c>
      <x:c r="D8" s="12" t="n">
        <x:f>SUMIFS('08 Receipt Calc'!$K$6:$K$25,'08 Receipt Calc'!$D$6:$D$25,A8,'08 Receipt Calc'!$B$6:$B$25,"reporting_ready")</x:f>
        <x:v>0</x:v>
      </x:c>
      <x:c r="E8" s="12" t="n">
        <x:f>SUMIFS('08 Receipt Calc'!$L$6:$L$25,'08 Receipt Calc'!$D$6:$D$25,A8,'08 Receipt Calc'!$C$6:$C$25,"reporting_ready")</x:f>
        <x:v>156.75</x:v>
      </x:c>
      <x:c r="F8" s="12" t="n">
        <x:f>'09 Sources'!G8</x:f>
        <x:v>-100</x:v>
      </x:c>
      <x:c r="G8" s="12" t="n">
        <x:f>C8+D8+F8</x:f>
        <x:v>0</x:v>
      </x:c>
      <x:c r="H8" s="12" t="n">
        <x:f>C8+E8+F8</x:f>
        <x:v>156.75</x:v>
      </x:c>
      <x:c r="I8" s="12" t="n">
        <x:f>'09 Sources'!F8</x:f>
        <x:v>156.75</x:v>
      </x:c>
      <x:c r="J8" s="12" t="n">
        <x:f>I8-G8</x:f>
        <x:v>156.75</x:v>
      </x:c>
      <x:c r="K8" s="12" t="n">
        <x:f>I8-H8</x:f>
        <x:v>0</x:v>
      </x:c>
      <x:c r="L8" s="11" t="n">
        <x:f>'09 Sources'!D8</x:f>
        <x:v>3.2</x:v>
      </x:c>
      <x:c r="M8" s="11" t="n">
        <x:f>J8*L8</x:f>
        <x:v>501.6</x:v>
      </x:c>
      <x:c r="N8" s="11" t="n">
        <x:f>K8*L8</x:f>
        <x:v>0</x:v>
      </x:c>
      <x:c r="O8" s="1"/>
      <x:c r="P8" s="1"/>
    </x:row>
    <x:row r="9" ht="24" customHeight="1">
      <x:c r="A9" s="10" t="str">
        <x:v>SKU-PLS-TOM-004</x:v>
      </x:c>
      <x:c r="B9" s="9" t="str">
        <x:v>kg</x:v>
      </x:c>
      <x:c r="C9" s="12" t="n">
        <x:f>'09 Sources'!E9</x:f>
        <x:v>300</x:v>
      </x:c>
      <x:c r="D9" s="12" t="n">
        <x:f>SUMIFS('08 Receipt Calc'!$K$6:$K$25,'08 Receipt Calc'!$D$6:$D$25,A9,'08 Receipt Calc'!$B$6:$B$25,"reporting_ready")</x:f>
        <x:v>195</x:v>
      </x:c>
      <x:c r="E9" s="12" t="n">
        <x:f>SUMIFS('08 Receipt Calc'!$L$6:$L$25,'08 Receipt Calc'!$D$6:$D$25,A9,'08 Receipt Calc'!$C$6:$C$25,"reporting_ready")</x:f>
        <x:v>195</x:v>
      </x:c>
      <x:c r="F9" s="12" t="n">
        <x:f>'09 Sources'!G9</x:f>
        <x:v>-120</x:v>
      </x:c>
      <x:c r="G9" s="12" t="n">
        <x:f>C9+D9+F9</x:f>
        <x:v>375</x:v>
      </x:c>
      <x:c r="H9" s="12" t="n">
        <x:f>C9+E9+F9</x:f>
        <x:v>375</x:v>
      </x:c>
      <x:c r="I9" s="12" t="n">
        <x:f>'09 Sources'!F9</x:f>
        <x:v>375</x:v>
      </x:c>
      <x:c r="J9" s="12" t="n">
        <x:f>I9-G9</x:f>
        <x:v>0</x:v>
      </x:c>
      <x:c r="K9" s="12" t="n">
        <x:f>I9-H9</x:f>
        <x:v>0</x:v>
      </x:c>
      <x:c r="L9" s="11" t="n">
        <x:f>'09 Sources'!D9</x:f>
        <x:v>2.8</x:v>
      </x:c>
      <x:c r="M9" s="11" t="n">
        <x:f>J9*L9</x:f>
        <x:v>0</x:v>
      </x:c>
      <x:c r="N9" s="11" t="n">
        <x:f>K9*L9</x:f>
        <x:v>0</x:v>
      </x:c>
      <x:c r="O9" s="1"/>
      <x:c r="P9" s="1"/>
    </x:row>
    <x:row r="10" ht="24" customHeight="1">
      <x:c r="A10" s="10" t="str">
        <x:v>SKU-OIL-SUN-005</x:v>
      </x:c>
      <x:c r="B10" s="9" t="str">
        <x:v>L</x:v>
      </x:c>
      <x:c r="C10" s="12" t="n">
        <x:f>'09 Sources'!E10</x:f>
        <x:v>100</x:v>
      </x:c>
      <x:c r="D10" s="12" t="n">
        <x:f>SUMIFS('08 Receipt Calc'!$K$6:$K$25,'08 Receipt Calc'!$D$6:$D$25,A10,'08 Receipt Calc'!$B$6:$B$25,"reporting_ready")</x:f>
        <x:v>30</x:v>
      </x:c>
      <x:c r="E10" s="12" t="n">
        <x:f>SUMIFS('08 Receipt Calc'!$L$6:$L$25,'08 Receipt Calc'!$D$6:$D$25,A10,'08 Receipt Calc'!$C$6:$C$25,"reporting_ready")</x:f>
        <x:v>30</x:v>
      </x:c>
      <x:c r="F10" s="12" t="n">
        <x:f>'09 Sources'!G10</x:f>
        <x:v>-25</x:v>
      </x:c>
      <x:c r="G10" s="12" t="n">
        <x:f>C10+D10+F10</x:f>
        <x:v>105</x:v>
      </x:c>
      <x:c r="H10" s="12" t="n">
        <x:f>C10+E10+F10</x:f>
        <x:v>105</x:v>
      </x:c>
      <x:c r="I10" s="12" t="n">
        <x:f>'09 Sources'!F10</x:f>
        <x:v>105</x:v>
      </x:c>
      <x:c r="J10" s="12" t="n">
        <x:f>I10-G10</x:f>
        <x:v>0</x:v>
      </x:c>
      <x:c r="K10" s="12" t="n">
        <x:f>I10-H10</x:f>
        <x:v>0</x:v>
      </x:c>
      <x:c r="L10" s="11" t="n">
        <x:f>'09 Sources'!D10</x:f>
        <x:v>4.5</x:v>
      </x:c>
      <x:c r="M10" s="11" t="n">
        <x:f>J10*L10</x:f>
        <x:v>0</x:v>
      </x:c>
      <x:c r="N10" s="11" t="n">
        <x:f>K10*L10</x:f>
        <x:v>0</x:v>
      </x:c>
      <x:c r="O10" s="1"/>
      <x:c r="P10" s="1"/>
    </x:row>
    <x:row r="11" ht="24" customHeight="1">
      <x:c r="A11" s="10" t="str">
        <x:v>SKU-FLU-WHT-006</x:v>
      </x:c>
      <x:c r="B11" s="9" t="str">
        <x:v>kg</x:v>
      </x:c>
      <x:c r="C11" s="12" t="n">
        <x:f>'09 Sources'!E11</x:f>
        <x:v>200</x:v>
      </x:c>
      <x:c r="D11" s="12" t="n">
        <x:f>SUMIFS('08 Receipt Calc'!$K$6:$K$25,'08 Receipt Calc'!$D$6:$D$25,A11,'08 Receipt Calc'!$B$6:$B$25,"reporting_ready")</x:f>
        <x:v>170</x:v>
      </x:c>
      <x:c r="E11" s="12" t="n">
        <x:f>SUMIFS('08 Receipt Calc'!$L$6:$L$25,'08 Receipt Calc'!$D$6:$D$25,A11,'08 Receipt Calc'!$C$6:$C$25,"reporting_ready")</x:f>
        <x:v>170</x:v>
      </x:c>
      <x:c r="F11" s="12" t="n">
        <x:f>'09 Sources'!G11</x:f>
        <x:v>-100</x:v>
      </x:c>
      <x:c r="G11" s="12" t="n">
        <x:f>C11+D11+F11</x:f>
        <x:v>270</x:v>
      </x:c>
      <x:c r="H11" s="12" t="n">
        <x:f>C11+E11+F11</x:f>
        <x:v>270</x:v>
      </x:c>
      <x:c r="I11" s="12" t="n">
        <x:f>'09 Sources'!F11</x:f>
        <x:v>270</x:v>
      </x:c>
      <x:c r="J11" s="12" t="n">
        <x:f>I11-G11</x:f>
        <x:v>0</x:v>
      </x:c>
      <x:c r="K11" s="12" t="n">
        <x:f>I11-H11</x:f>
        <x:v>0</x:v>
      </x:c>
      <x:c r="L11" s="11" t="n">
        <x:f>'09 Sources'!D11</x:f>
        <x:v>1.6</x:v>
      </x:c>
      <x:c r="M11" s="11" t="n">
        <x:f>J11*L11</x:f>
        <x:v>0</x:v>
      </x:c>
      <x:c r="N11" s="11" t="n">
        <x:f>K11*L11</x:f>
        <x:v>0</x:v>
      </x:c>
      <x:c r="O11" s="1"/>
      <x:c r="P11" s="1"/>
    </x:row>
    <x:row r="12" ht="24" customHeight="1">
      <x:c r="A12" s="10" t="str">
        <x:v>SKU-SGR-WHT-007</x:v>
      </x:c>
      <x:c r="B12" s="9" t="str">
        <x:v>kg</x:v>
      </x:c>
      <x:c r="C12" s="12" t="n">
        <x:f>'09 Sources'!E12</x:f>
        <x:v>500</x:v>
      </x:c>
      <x:c r="D12" s="12" t="n">
        <x:f>SUMIFS('08 Receipt Calc'!$K$6:$K$25,'08 Receipt Calc'!$D$6:$D$25,A12,'08 Receipt Calc'!$B$6:$B$25,"reporting_ready")</x:f>
        <x:v>780</x:v>
      </x:c>
      <x:c r="E12" s="12" t="n">
        <x:f>SUMIFS('08 Receipt Calc'!$L$6:$L$25,'08 Receipt Calc'!$D$6:$D$25,A12,'08 Receipt Calc'!$C$6:$C$25,"reporting_ready")</x:f>
        <x:v>780</x:v>
      </x:c>
      <x:c r="F12" s="12" t="n">
        <x:f>'09 Sources'!G12</x:f>
        <x:v>-500</x:v>
      </x:c>
      <x:c r="G12" s="12" t="n">
        <x:f>C12+D12+F12</x:f>
        <x:v>780</x:v>
      </x:c>
      <x:c r="H12" s="12" t="n">
        <x:f>C12+E12+F12</x:f>
        <x:v>780</x:v>
      </x:c>
      <x:c r="I12" s="12" t="n">
        <x:f>'09 Sources'!F12</x:f>
        <x:v>780</x:v>
      </x:c>
      <x:c r="J12" s="12" t="n">
        <x:f>I12-G12</x:f>
        <x:v>0</x:v>
      </x:c>
      <x:c r="K12" s="12" t="n">
        <x:f>I12-H12</x:f>
        <x:v>0</x:v>
      </x:c>
      <x:c r="L12" s="11" t="n">
        <x:f>'09 Sources'!D12</x:f>
        <x:v>1.4</x:v>
      </x:c>
      <x:c r="M12" s="11" t="n">
        <x:f>J12*L12</x:f>
        <x:v>0</x:v>
      </x:c>
      <x:c r="N12" s="11" t="n">
        <x:f>K12*L12</x:f>
        <x:v>0</x:v>
      </x:c>
      <x:c r="O12" s="1"/>
      <x:c r="P12" s="1"/>
    </x:row>
    <x:row r="13" ht="24" customHeight="1">
      <x:c r="A13" s="10" t="str">
        <x:v>SKU-CHS-SAU-008</x:v>
      </x:c>
      <x:c r="B13" s="9" t="str">
        <x:v>kg</x:v>
      </x:c>
      <x:c r="C13" s="12" t="n">
        <x:f>'09 Sources'!E13</x:f>
        <x:v>100</x:v>
      </x:c>
      <x:c r="D13" s="12" t="n">
        <x:f>SUMIFS('08 Receipt Calc'!$K$6:$K$25,'08 Receipt Calc'!$D$6:$D$25,A13,'08 Receipt Calc'!$B$6:$B$25,"reporting_ready")</x:f>
        <x:v>87</x:v>
      </x:c>
      <x:c r="E13" s="12" t="n">
        <x:f>SUMIFS('08 Receipt Calc'!$L$6:$L$25,'08 Receipt Calc'!$D$6:$D$25,A13,'08 Receipt Calc'!$C$6:$C$25,"reporting_ready")</x:f>
        <x:v>87</x:v>
      </x:c>
      <x:c r="F13" s="12" t="n">
        <x:f>'09 Sources'!G13</x:f>
        <x:v>-50</x:v>
      </x:c>
      <x:c r="G13" s="12" t="n">
        <x:f>C13+D13+F13</x:f>
        <x:v>137</x:v>
      </x:c>
      <x:c r="H13" s="12" t="n">
        <x:f>C13+E13+F13</x:f>
        <x:v>137</x:v>
      </x:c>
      <x:c r="I13" s="12" t="n">
        <x:f>'09 Sources'!F13</x:f>
        <x:v>137</x:v>
      </x:c>
      <x:c r="J13" s="12" t="n">
        <x:f>I13-G13</x:f>
        <x:v>0</x:v>
      </x:c>
      <x:c r="K13" s="12" t="n">
        <x:f>I13-H13</x:f>
        <x:v>0</x:v>
      </x:c>
      <x:c r="L13" s="11" t="n">
        <x:f>'09 Sources'!D13</x:f>
        <x:v>5</x:v>
      </x:c>
      <x:c r="M13" s="11" t="n">
        <x:f>J13*L13</x:f>
        <x:v>0</x:v>
      </x:c>
      <x:c r="N13" s="11" t="n">
        <x:f>K13*L13</x:f>
        <x:v>0</x:v>
      </x:c>
      <x:c r="O13" s="1"/>
      <x:c r="P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</x:sheetData>
  <x:conditionalFormatting sqref="K6:K13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1e548250b24582"/>
  </x:tableParts>
</x:worksheet>
</file>

<file path=xl/worksheets/sheet8.xml><?xml version="1.0" encoding="utf-8"?>
<x:worksheet xmlns:x="http://schemas.openxmlformats.org/spreadsheetml/2006/main">
  <x:sheetPr>
    <x:tabColor rgb="FFD9E2E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18" hidden="0" customWidth="1"/>
    <x:col min="22" max="22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4" customHeight="1">
      <x:c r="A2" s="2" t="str">
        <x:v>Receipt quantity and value 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24" customHeight="1">
      <x:c r="A3" s="3" t="str">
        <x:v>Blank baseline conversion means unavailable, not zero. Baseline and approved quantities use the same source row.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38" customHeight="1">
      <x:c r="A5" s="8" t="str">
        <x:v>Receipt</x:v>
      </x:c>
      <x:c r="B5" s="8" t="str">
        <x:v>Before disposition</x:v>
      </x:c>
      <x:c r="C5" s="8" t="str">
        <x:v>After disposition</x:v>
      </x:c>
      <x:c r="D5" s="8" t="str">
        <x:v>SKU</x:v>
      </x:c>
      <x:c r="E5" s="8" t="str">
        <x:v>Batch</x:v>
      </x:c>
      <x:c r="F5" s="8" t="str">
        <x:v>Source qty</x:v>
      </x:c>
      <x:c r="G5" s="8" t="str">
        <x:v>Source UoM</x:v>
      </x:c>
      <x:c r="H5" s="8" t="str">
        <x:v>Base UoM</x:v>
      </x:c>
      <x:c r="I5" s="8" t="str">
        <x:v>Before factor</x:v>
      </x:c>
      <x:c r="J5" s="8" t="str">
        <x:v>Approved factor</x:v>
      </x:c>
      <x:c r="K5" s="8" t="str">
        <x:v>Before base qty</x:v>
      </x:c>
      <x:c r="L5" s="8" t="str">
        <x:v>After base qty</x:v>
      </x:c>
      <x:c r="M5" s="8" t="str">
        <x:v>Cost NZD/base</x:v>
      </x:c>
      <x:c r="N5" s="8" t="str">
        <x:v>Before value</x:v>
      </x:c>
      <x:c r="O5" s="8" t="str">
        <x:v>After value</x:v>
      </x:c>
      <x:c r="P5" s="8" t="str">
        <x:v>Comparable delta</x:v>
      </x:c>
      <x:c r="Q5" s="8" t="str">
        <x:v>New eligible value</x:v>
      </x:c>
      <x:c r="R5" s="8" t="str">
        <x:v>Late flag</x:v>
      </x:c>
      <x:c r="S5" s="8" t="str">
        <x:v>Approved mapping</x:v>
      </x:c>
      <x:c r="T5" s="8" t="str">
        <x:v>Baseline mapping</x:v>
      </x:c>
      <x:c r="U5" s="1"/>
      <x:c r="V5" s="1"/>
    </x:row>
    <x:row r="6" ht="24" customHeight="1">
      <x:c r="A6" s="10" t="str">
        <x:v>RCV-0001</x:v>
      </x:c>
      <x:c r="B6" s="10" t="str">
        <x:v>reporting_ready</x:v>
      </x:c>
      <x:c r="C6" s="10" t="str">
        <x:v>reporting_ready</x:v>
      </x:c>
      <x:c r="D6" s="10" t="str">
        <x:v>SKU-FZN-BER-001</x:v>
      </x:c>
      <x:c r="E6" s="9" t="str">
        <x:v>B-0901</x:v>
      </x:c>
      <x:c r="F6" s="12" t="n">
        <x:f>'02 Evidence'!H6</x:f>
        <x:v>12</x:v>
      </x:c>
      <x:c r="G6" s="9" t="str">
        <x:v>CASE</x:v>
      </x:c>
      <x:c r="H6" s="9" t="str">
        <x:v>kg</x:v>
      </x:c>
      <x:c r="I6" s="12" t="n">
        <x:v>10</x:v>
      </x:c>
      <x:c r="J6" s="12" t="n">
        <x:v>12</x:v>
      </x:c>
      <x:c r="K6" s="12" t="n">
        <x:f>IF(I6="","",F6*I6)</x:f>
        <x:v>120</x:v>
      </x:c>
      <x:c r="L6" s="12" t="n">
        <x:f>IF(J6="","",F6*J6)</x:f>
        <x:v>144</x:v>
      </x:c>
      <x:c r="M6" s="11" t="n">
        <x:f>'09 Sources'!D6</x:f>
        <x:v>8.5</x:v>
      </x:c>
      <x:c r="N6" s="11" t="n">
        <x:f>IF(K6="","",K6*M6)</x:f>
        <x:v>1020</x:v>
      </x:c>
      <x:c r="O6" s="11" t="n">
        <x:f>IF(L6="","",L6*M6)</x:f>
        <x:v>1224</x:v>
      </x:c>
      <x:c r="P6" s="11" t="n">
        <x:f>IF(AND(B6="reporting_ready",C6="reporting_ready"),O6-N6,"")</x:f>
        <x:v>204</x:v>
      </x:c>
      <x:c r="Q6" s="11" t="str">
        <x:f>IF(AND(B6&lt;&gt;"reporting_ready",C6="reporting_ready"),O6,"")</x:f>
      </x:c>
      <x:c r="R6" s="9" t="n">
        <x:v>0</x:v>
      </x:c>
      <x:c r="S6" s="10" t="str">
        <x:v>MAP-CR001</x:v>
      </x:c>
      <x:c r="T6" s="10" t="str">
        <x:v>MAP-001</x:v>
      </x:c>
      <x:c r="U6" s="1"/>
      <x:c r="V6" s="1"/>
    </x:row>
    <x:row r="7" ht="24" customHeight="1">
      <x:c r="A7" s="10" t="str">
        <x:v>RCV-0002</x:v>
      </x:c>
      <x:c r="B7" s="10" t="str">
        <x:v>review</x:v>
      </x:c>
      <x:c r="C7" s="10" t="str">
        <x:v>reporting_ready</x:v>
      </x:c>
      <x:c r="D7" s="10" t="str">
        <x:v>SKU-APL-JCE-003</x:v>
      </x:c>
      <x:c r="E7" s="9" t="str">
        <x:v>B-0903</x:v>
      </x:c>
      <x:c r="F7" s="12" t="n">
        <x:f>'02 Evidence'!H7</x:f>
        <x:v>50</x:v>
      </x:c>
      <x:c r="G7" s="9" t="str">
        <x:v>L</x:v>
      </x:c>
      <x:c r="H7" s="9" t="str">
        <x:v>kg</x:v>
      </x:c>
      <x:c r="I7" s="12"/>
      <x:c r="J7" s="12" t="n">
        <x:v>0.95</x:v>
      </x:c>
      <x:c r="K7" s="12" t="str">
        <x:f>IF(I7="","",F7*I7)</x:f>
      </x:c>
      <x:c r="L7" s="12" t="n">
        <x:f>IF(J7="","",F7*J7)</x:f>
        <x:v>47.5</x:v>
      </x:c>
      <x:c r="M7" s="11" t="n">
        <x:f>'09 Sources'!D8</x:f>
        <x:v>3.2</x:v>
      </x:c>
      <x:c r="N7" s="11" t="str">
        <x:f>IF(K7="","",K7*M7)</x:f>
      </x:c>
      <x:c r="O7" s="11" t="n">
        <x:f>IF(L7="","",L7*M7)</x:f>
        <x:v>152</x:v>
      </x:c>
      <x:c r="P7" s="11" t="str">
        <x:f>IF(AND(B7="reporting_ready",C7="reporting_ready"),O7-N7,"")</x:f>
      </x:c>
      <x:c r="Q7" s="11" t="n">
        <x:f>IF(AND(B7&lt;&gt;"reporting_ready",C7="reporting_ready"),O7,"")</x:f>
        <x:v>152</x:v>
      </x:c>
      <x:c r="R7" s="9" t="n">
        <x:v>0</x:v>
      </x:c>
      <x:c r="S7" s="10" t="str">
        <x:v>MAP-CR004</x:v>
      </x:c>
      <x:c r="T7" s="10" t="str">
        <x:v>MAP-004</x:v>
      </x:c>
      <x:c r="U7" s="1"/>
      <x:c r="V7" s="1"/>
    </x:row>
    <x:row r="8" ht="24" customHeight="1">
      <x:c r="A8" s="10" t="str">
        <x:v>RCV-0003</x:v>
      </x:c>
      <x:c r="B8" s="10" t="str">
        <x:v>reporting_ready</x:v>
      </x:c>
      <x:c r="C8" s="10" t="str">
        <x:v>reporting_ready</x:v>
      </x:c>
      <x:c r="D8" s="10" t="str">
        <x:v>SKU-FLU-WHT-006</x:v>
      </x:c>
      <x:c r="E8" s="9" t="str">
        <x:v>B-0905</x:v>
      </x:c>
      <x:c r="F8" s="12" t="n">
        <x:f>'02 Evidence'!H8</x:f>
        <x:v>80</x:v>
      </x:c>
      <x:c r="G8" s="9" t="str">
        <x:v>kg</x:v>
      </x:c>
      <x:c r="H8" s="9" t="str">
        <x:v>kg</x:v>
      </x:c>
      <x:c r="I8" s="12" t="n">
        <x:v>1</x:v>
      </x:c>
      <x:c r="J8" s="12" t="n">
        <x:v>1</x:v>
      </x:c>
      <x:c r="K8" s="12" t="n">
        <x:f>IF(I8="","",F8*I8)</x:f>
        <x:v>80</x:v>
      </x:c>
      <x:c r="L8" s="12" t="n">
        <x:f>IF(J8="","",F8*J8)</x:f>
        <x:v>80</x:v>
      </x:c>
      <x:c r="M8" s="11" t="n">
        <x:f>'09 Sources'!D11</x:f>
        <x:v>1.6</x:v>
      </x:c>
      <x:c r="N8" s="11" t="n">
        <x:f>IF(K8="","",K8*M8)</x:f>
        <x:v>128</x:v>
      </x:c>
      <x:c r="O8" s="11" t="n">
        <x:f>IF(L8="","",L8*M8)</x:f>
        <x:v>128</x:v>
      </x:c>
      <x:c r="P8" s="11" t="n">
        <x:f>IF(AND(B8="reporting_ready",C8="reporting_ready"),O8-N8,"")</x:f>
        <x:v>0</x:v>
      </x:c>
      <x:c r="Q8" s="11" t="str">
        <x:f>IF(AND(B8&lt;&gt;"reporting_ready",C8="reporting_ready"),O8,"")</x:f>
      </x:c>
      <x:c r="R8" s="9" t="n">
        <x:v>0</x:v>
      </x:c>
      <x:c r="S8" s="10" t="str">
        <x:v>MAP-007</x:v>
      </x:c>
      <x:c r="T8" s="10" t="str">
        <x:v>MAP-007</x:v>
      </x:c>
      <x:c r="U8" s="1"/>
      <x:c r="V8" s="1"/>
    </x:row>
    <x:row r="9" ht="24" customHeight="1">
      <x:c r="A9" s="10" t="str">
        <x:v>RCV-0004</x:v>
      </x:c>
      <x:c r="B9" s="10" t="str">
        <x:v>reporting_ready</x:v>
      </x:c>
      <x:c r="C9" s="10" t="str">
        <x:v>reporting_ready</x:v>
      </x:c>
      <x:c r="D9" s="10" t="str">
        <x:v>SKU-FZN-BER-001</x:v>
      </x:c>
      <x:c r="E9" s="9" t="str">
        <x:v>B-0907</x:v>
      </x:c>
      <x:c r="F9" s="12" t="n">
        <x:f>'02 Evidence'!H9</x:f>
        <x:v>12</x:v>
      </x:c>
      <x:c r="G9" s="9" t="str">
        <x:v>CASE</x:v>
      </x:c>
      <x:c r="H9" s="9" t="str">
        <x:v>kg</x:v>
      </x:c>
      <x:c r="I9" s="12" t="n">
        <x:v>10</x:v>
      </x:c>
      <x:c r="J9" s="12" t="n">
        <x:v>12</x:v>
      </x:c>
      <x:c r="K9" s="12" t="n">
        <x:f>IF(I9="","",F9*I9)</x:f>
        <x:v>120</x:v>
      </x:c>
      <x:c r="L9" s="12" t="n">
        <x:f>IF(J9="","",F9*J9)</x:f>
        <x:v>144</x:v>
      </x:c>
      <x:c r="M9" s="11" t="n">
        <x:f>'09 Sources'!D6</x:f>
        <x:v>8.5</x:v>
      </x:c>
      <x:c r="N9" s="11" t="n">
        <x:f>IF(K9="","",K9*M9)</x:f>
        <x:v>1020</x:v>
      </x:c>
      <x:c r="O9" s="11" t="n">
        <x:f>IF(L9="","",L9*M9)</x:f>
        <x:v>1224</x:v>
      </x:c>
      <x:c r="P9" s="11" t="n">
        <x:f>IF(AND(B9="reporting_ready",C9="reporting_ready"),O9-N9,"")</x:f>
        <x:v>204</x:v>
      </x:c>
      <x:c r="Q9" s="11" t="str">
        <x:f>IF(AND(B9&lt;&gt;"reporting_ready",C9="reporting_ready"),O9,"")</x:f>
      </x:c>
      <x:c r="R9" s="9" t="n">
        <x:v>0</x:v>
      </x:c>
      <x:c r="S9" s="10" t="str">
        <x:v>MAP-CR001</x:v>
      </x:c>
      <x:c r="T9" s="10" t="str">
        <x:v>MAP-001</x:v>
      </x:c>
      <x:c r="U9" s="1"/>
      <x:c r="V9" s="1"/>
    </x:row>
    <x:row r="10" ht="24" customHeight="1">
      <x:c r="A10" s="10" t="str">
        <x:v>RCV-0005</x:v>
      </x:c>
      <x:c r="B10" s="10" t="str">
        <x:v>reporting_ready</x:v>
      </x:c>
      <x:c r="C10" s="10" t="str">
        <x:v>reporting_ready</x:v>
      </x:c>
      <x:c r="D10" s="10" t="str">
        <x:v>SKU-PLS-TOM-004</x:v>
      </x:c>
      <x:c r="E10" s="9" t="str">
        <x:v>B-0909</x:v>
      </x:c>
      <x:c r="F10" s="12" t="n">
        <x:f>'02 Evidence'!H10</x:f>
        <x:v>100</x:v>
      </x:c>
      <x:c r="G10" s="9" t="str">
        <x:v>kg</x:v>
      </x:c>
      <x:c r="H10" s="9" t="str">
        <x:v>kg</x:v>
      </x:c>
      <x:c r="I10" s="12" t="n">
        <x:v>1</x:v>
      </x:c>
      <x:c r="J10" s="12" t="n">
        <x:v>1</x:v>
      </x:c>
      <x:c r="K10" s="12" t="n">
        <x:f>IF(I10="","",F10*I10)</x:f>
        <x:v>100</x:v>
      </x:c>
      <x:c r="L10" s="12" t="n">
        <x:f>IF(J10="","",F10*J10)</x:f>
        <x:v>100</x:v>
      </x:c>
      <x:c r="M10" s="11" t="n">
        <x:f>'09 Sources'!D9</x:f>
        <x:v>2.8</x:v>
      </x:c>
      <x:c r="N10" s="11" t="n">
        <x:f>IF(K10="","",K10*M10)</x:f>
        <x:v>280</x:v>
      </x:c>
      <x:c r="O10" s="11" t="n">
        <x:f>IF(L10="","",L10*M10)</x:f>
        <x:v>280</x:v>
      </x:c>
      <x:c r="P10" s="11" t="n">
        <x:f>IF(AND(B10="reporting_ready",C10="reporting_ready"),O10-N10,"")</x:f>
        <x:v>0</x:v>
      </x:c>
      <x:c r="Q10" s="11" t="str">
        <x:f>IF(AND(B10&lt;&gt;"reporting_ready",C10="reporting_ready"),O10,"")</x:f>
      </x:c>
      <x:c r="R10" s="9" t="n">
        <x:v>0</x:v>
      </x:c>
      <x:c r="S10" s="10" t="str">
        <x:v>MAP-005</x:v>
      </x:c>
      <x:c r="T10" s="10" t="str">
        <x:v>MAP-005</x:v>
      </x:c>
      <x:c r="U10" s="1"/>
      <x:c r="V10" s="1"/>
    </x:row>
    <x:row r="11" ht="24" customHeight="1">
      <x:c r="A11" s="10" t="str">
        <x:v>RCV-0006</x:v>
      </x:c>
      <x:c r="B11" s="10" t="str">
        <x:v>reporting_ready</x:v>
      </x:c>
      <x:c r="C11" s="10" t="str">
        <x:v>reporting_ready</x:v>
      </x:c>
      <x:c r="D11" s="10" t="str">
        <x:v>SKU-OIL-SUN-005</x:v>
      </x:c>
      <x:c r="E11" s="9" t="str">
        <x:v>B-0911</x:v>
      </x:c>
      <x:c r="F11" s="12" t="n">
        <x:f>'02 Evidence'!H11</x:f>
        <x:v>30</x:v>
      </x:c>
      <x:c r="G11" s="9" t="str">
        <x:v>L</x:v>
      </x:c>
      <x:c r="H11" s="9" t="str">
        <x:v>L</x:v>
      </x:c>
      <x:c r="I11" s="12" t="n">
        <x:v>1</x:v>
      </x:c>
      <x:c r="J11" s="12" t="n">
        <x:v>1</x:v>
      </x:c>
      <x:c r="K11" s="12" t="n">
        <x:f>IF(I11="","",F11*I11)</x:f>
        <x:v>30</x:v>
      </x:c>
      <x:c r="L11" s="12" t="n">
        <x:f>IF(J11="","",F11*J11)</x:f>
        <x:v>30</x:v>
      </x:c>
      <x:c r="M11" s="11" t="n">
        <x:f>'09 Sources'!D10</x:f>
        <x:v>4.5</x:v>
      </x:c>
      <x:c r="N11" s="11" t="n">
        <x:f>IF(K11="","",K11*M11)</x:f>
        <x:v>135</x:v>
      </x:c>
      <x:c r="O11" s="11" t="n">
        <x:f>IF(L11="","",L11*M11)</x:f>
        <x:v>135</x:v>
      </x:c>
      <x:c r="P11" s="11" t="n">
        <x:f>IF(AND(B11="reporting_ready",C11="reporting_ready"),O11-N11,"")</x:f>
        <x:v>0</x:v>
      </x:c>
      <x:c r="Q11" s="11" t="str">
        <x:f>IF(AND(B11&lt;&gt;"reporting_ready",C11="reporting_ready"),O11,"")</x:f>
      </x:c>
      <x:c r="R11" s="9" t="n">
        <x:v>0</x:v>
      </x:c>
      <x:c r="S11" s="10" t="str">
        <x:v>MAP-006</x:v>
      </x:c>
      <x:c r="T11" s="10" t="str">
        <x:v>MAP-006</x:v>
      </x:c>
      <x:c r="U11" s="1"/>
      <x:c r="V11" s="1"/>
    </x:row>
    <x:row r="12" ht="24" customHeight="1">
      <x:c r="A12" s="10" t="str">
        <x:v>RCV-0007</x:v>
      </x:c>
      <x:c r="B12" s="10" t="str">
        <x:v>reporting_ready</x:v>
      </x:c>
      <x:c r="C12" s="10" t="str">
        <x:v>reporting_ready</x:v>
      </x:c>
      <x:c r="D12" s="10" t="str">
        <x:v>SKU-SGR-WHT-007</x:v>
      </x:c>
      <x:c r="E12" s="9" t="str">
        <x:v>B-0913</x:v>
      </x:c>
      <x:c r="F12" s="12" t="n">
        <x:f>'02 Evidence'!H12</x:f>
        <x:v>400</x:v>
      </x:c>
      <x:c r="G12" s="9" t="str">
        <x:v>kg</x:v>
      </x:c>
      <x:c r="H12" s="9" t="str">
        <x:v>kg</x:v>
      </x:c>
      <x:c r="I12" s="12" t="n">
        <x:v>1</x:v>
      </x:c>
      <x:c r="J12" s="12" t="n">
        <x:v>1</x:v>
      </x:c>
      <x:c r="K12" s="12" t="n">
        <x:f>IF(I12="","",F12*I12)</x:f>
        <x:v>400</x:v>
      </x:c>
      <x:c r="L12" s="12" t="n">
        <x:f>IF(J12="","",F12*J12)</x:f>
        <x:v>400</x:v>
      </x:c>
      <x:c r="M12" s="11" t="n">
        <x:f>'09 Sources'!D12</x:f>
        <x:v>1.4</x:v>
      </x:c>
      <x:c r="N12" s="11" t="n">
        <x:f>IF(K12="","",K12*M12)</x:f>
        <x:v>560</x:v>
      </x:c>
      <x:c r="O12" s="11" t="n">
        <x:f>IF(L12="","",L12*M12)</x:f>
        <x:v>560</x:v>
      </x:c>
      <x:c r="P12" s="11" t="n">
        <x:f>IF(AND(B12="reporting_ready",C12="reporting_ready"),O12-N12,"")</x:f>
        <x:v>0</x:v>
      </x:c>
      <x:c r="Q12" s="11" t="str">
        <x:f>IF(AND(B12&lt;&gt;"reporting_ready",C12="reporting_ready"),O12,"")</x:f>
      </x:c>
      <x:c r="R12" s="9" t="n">
        <x:v>0</x:v>
      </x:c>
      <x:c r="S12" s="10" t="str">
        <x:v>MAP-008</x:v>
      </x:c>
      <x:c r="T12" s="10" t="str">
        <x:v>MAP-008</x:v>
      </x:c>
      <x:c r="U12" s="1"/>
      <x:c r="V12" s="1"/>
    </x:row>
    <x:row r="13" ht="24" customHeight="1">
      <x:c r="A13" s="10" t="str">
        <x:v>RCV-0008</x:v>
      </x:c>
      <x:c r="B13" s="10" t="str">
        <x:v>reporting_ready</x:v>
      </x:c>
      <x:c r="C13" s="10" t="str">
        <x:v>reporting_ready</x:v>
      </x:c>
      <x:c r="D13" s="10" t="str">
        <x:v>SKU-CHS-SAU-008</x:v>
      </x:c>
      <x:c r="E13" s="9" t="str">
        <x:v>B-0915</x:v>
      </x:c>
      <x:c r="F13" s="12" t="n">
        <x:f>'02 Evidence'!H13</x:f>
        <x:v>45</x:v>
      </x:c>
      <x:c r="G13" s="9" t="str">
        <x:v>kg</x:v>
      </x:c>
      <x:c r="H13" s="9" t="str">
        <x:v>kg</x:v>
      </x:c>
      <x:c r="I13" s="12" t="n">
        <x:v>1</x:v>
      </x:c>
      <x:c r="J13" s="12" t="n">
        <x:v>1</x:v>
      </x:c>
      <x:c r="K13" s="12" t="n">
        <x:f>IF(I13="","",F13*I13)</x:f>
        <x:v>45</x:v>
      </x:c>
      <x:c r="L13" s="12" t="n">
        <x:f>IF(J13="","",F13*J13)</x:f>
        <x:v>45</x:v>
      </x:c>
      <x:c r="M13" s="11" t="n">
        <x:f>'09 Sources'!D13</x:f>
        <x:v>5</x:v>
      </x:c>
      <x:c r="N13" s="11" t="n">
        <x:f>IF(K13="","",K13*M13)</x:f>
        <x:v>225</x:v>
      </x:c>
      <x:c r="O13" s="11" t="n">
        <x:f>IF(L13="","",L13*M13)</x:f>
        <x:v>225</x:v>
      </x:c>
      <x:c r="P13" s="11" t="n">
        <x:f>IF(AND(B13="reporting_ready",C13="reporting_ready"),O13-N13,"")</x:f>
        <x:v>0</x:v>
      </x:c>
      <x:c r="Q13" s="11" t="str">
        <x:f>IF(AND(B13&lt;&gt;"reporting_ready",C13="reporting_ready"),O13,"")</x:f>
      </x:c>
      <x:c r="R13" s="9" t="n">
        <x:v>0</x:v>
      </x:c>
      <x:c r="S13" s="10" t="str">
        <x:v>MAP-009</x:v>
      </x:c>
      <x:c r="T13" s="10" t="str">
        <x:v>MAP-009</x:v>
      </x:c>
      <x:c r="U13" s="1"/>
      <x:c r="V13" s="1"/>
    </x:row>
    <x:row r="14" ht="24" customHeight="1">
      <x:c r="A14" s="10" t="str">
        <x:v>RCV-0009</x:v>
      </x:c>
      <x:c r="B14" s="10" t="str">
        <x:v>reporting_ready</x:v>
      </x:c>
      <x:c r="C14" s="10" t="str">
        <x:v>reporting_ready</x:v>
      </x:c>
      <x:c r="D14" s="10" t="str">
        <x:v>SKU-FZN-MAN-002</x:v>
      </x:c>
      <x:c r="E14" s="9" t="str">
        <x:v>B-0917</x:v>
      </x:c>
      <x:c r="F14" s="12" t="n">
        <x:f>'02 Evidence'!H14</x:f>
        <x:v>60</x:v>
      </x:c>
      <x:c r="G14" s="9" t="str">
        <x:v>kg</x:v>
      </x:c>
      <x:c r="H14" s="9" t="str">
        <x:v>kg</x:v>
      </x:c>
      <x:c r="I14" s="12" t="n">
        <x:v>1</x:v>
      </x:c>
      <x:c r="J14" s="12" t="n">
        <x:v>1</x:v>
      </x:c>
      <x:c r="K14" s="12" t="n">
        <x:f>IF(I14="","",F14*I14)</x:f>
        <x:v>60</x:v>
      </x:c>
      <x:c r="L14" s="12" t="n">
        <x:f>IF(J14="","",F14*J14)</x:f>
        <x:v>60</x:v>
      </x:c>
      <x:c r="M14" s="11" t="n">
        <x:f>'09 Sources'!D7</x:f>
        <x:v>6</x:v>
      </x:c>
      <x:c r="N14" s="11" t="n">
        <x:f>IF(K14="","",K14*M14)</x:f>
        <x:v>360</x:v>
      </x:c>
      <x:c r="O14" s="11" t="n">
        <x:f>IF(L14="","",L14*M14)</x:f>
        <x:v>360</x:v>
      </x:c>
      <x:c r="P14" s="11" t="n">
        <x:f>IF(AND(B14="reporting_ready",C14="reporting_ready"),O14-N14,"")</x:f>
        <x:v>0</x:v>
      </x:c>
      <x:c r="Q14" s="11" t="str">
        <x:f>IF(AND(B14&lt;&gt;"reporting_ready",C14="reporting_ready"),O14,"")</x:f>
      </x:c>
      <x:c r="R14" s="9" t="n">
        <x:v>0</x:v>
      </x:c>
      <x:c r="S14" s="10" t="str">
        <x:v>MAP-003</x:v>
      </x:c>
      <x:c r="T14" s="10" t="str">
        <x:v>MAP-003</x:v>
      </x:c>
      <x:c r="U14" s="1"/>
      <x:c r="V14" s="1"/>
    </x:row>
    <x:row r="15" ht="24" customHeight="1">
      <x:c r="A15" s="10" t="str">
        <x:v>RCV-0010</x:v>
      </x:c>
      <x:c r="B15" s="10" t="str">
        <x:v>reporting_ready</x:v>
      </x:c>
      <x:c r="C15" s="10" t="str">
        <x:v>reporting_ready</x:v>
      </x:c>
      <x:c r="D15" s="10" t="str">
        <x:v>SKU-FZN-BER-001</x:v>
      </x:c>
      <x:c r="E15" s="9" t="str">
        <x:v>B-0919</x:v>
      </x:c>
      <x:c r="F15" s="12" t="n">
        <x:f>'02 Evidence'!H15</x:f>
        <x:v>13</x:v>
      </x:c>
      <x:c r="G15" s="9" t="str">
        <x:v>CASE</x:v>
      </x:c>
      <x:c r="H15" s="9" t="str">
        <x:v>kg</x:v>
      </x:c>
      <x:c r="I15" s="12" t="n">
        <x:v>10</x:v>
      </x:c>
      <x:c r="J15" s="12" t="n">
        <x:v>12</x:v>
      </x:c>
      <x:c r="K15" s="12" t="n">
        <x:f>IF(I15="","",F15*I15)</x:f>
        <x:v>130</x:v>
      </x:c>
      <x:c r="L15" s="12" t="n">
        <x:f>IF(J15="","",F15*J15)</x:f>
        <x:v>156</x:v>
      </x:c>
      <x:c r="M15" s="11" t="n">
        <x:f>'09 Sources'!D6</x:f>
        <x:v>8.5</x:v>
      </x:c>
      <x:c r="N15" s="11" t="n">
        <x:f>IF(K15="","",K15*M15)</x:f>
        <x:v>1105</x:v>
      </x:c>
      <x:c r="O15" s="11" t="n">
        <x:f>IF(L15="","",L15*M15)</x:f>
        <x:v>1326</x:v>
      </x:c>
      <x:c r="P15" s="11" t="n">
        <x:f>IF(AND(B15="reporting_ready",C15="reporting_ready"),O15-N15,"")</x:f>
        <x:v>221</x:v>
      </x:c>
      <x:c r="Q15" s="11" t="str">
        <x:f>IF(AND(B15&lt;&gt;"reporting_ready",C15="reporting_ready"),O15,"")</x:f>
      </x:c>
      <x:c r="R15" s="9" t="n">
        <x:v>0</x:v>
      </x:c>
      <x:c r="S15" s="10" t="str">
        <x:v>MAP-CR001</x:v>
      </x:c>
      <x:c r="T15" s="10" t="str">
        <x:v>MAP-001</x:v>
      </x:c>
      <x:c r="U15" s="1"/>
      <x:c r="V15" s="1"/>
    </x:row>
    <x:row r="16" ht="24" customHeight="1">
      <x:c r="A16" s="10" t="str">
        <x:v>RCV-0011</x:v>
      </x:c>
      <x:c r="B16" s="10" t="str">
        <x:v>review</x:v>
      </x:c>
      <x:c r="C16" s="10" t="str">
        <x:v>reporting_ready</x:v>
      </x:c>
      <x:c r="D16" s="10" t="str">
        <x:v>SKU-APL-JCE-003</x:v>
      </x:c>
      <x:c r="E16" s="9" t="str">
        <x:v>B-0921</x:v>
      </x:c>
      <x:c r="F16" s="12" t="n">
        <x:f>'02 Evidence'!H16</x:f>
        <x:v>55</x:v>
      </x:c>
      <x:c r="G16" s="9" t="str">
        <x:v>L</x:v>
      </x:c>
      <x:c r="H16" s="9" t="str">
        <x:v>kg</x:v>
      </x:c>
      <x:c r="I16" s="12"/>
      <x:c r="J16" s="12" t="n">
        <x:v>0.95</x:v>
      </x:c>
      <x:c r="K16" s="12" t="str">
        <x:f>IF(I16="","",F16*I16)</x:f>
      </x:c>
      <x:c r="L16" s="12" t="n">
        <x:f>IF(J16="","",F16*J16)</x:f>
        <x:v>52.25</x:v>
      </x:c>
      <x:c r="M16" s="11" t="n">
        <x:f>'09 Sources'!D8</x:f>
        <x:v>3.2</x:v>
      </x:c>
      <x:c r="N16" s="11" t="str">
        <x:f>IF(K16="","",K16*M16)</x:f>
      </x:c>
      <x:c r="O16" s="11" t="n">
        <x:f>IF(L16="","",L16*M16)</x:f>
        <x:v>167.20000000000002</x:v>
      </x:c>
      <x:c r="P16" s="11" t="str">
        <x:f>IF(AND(B16="reporting_ready",C16="reporting_ready"),O16-N16,"")</x:f>
      </x:c>
      <x:c r="Q16" s="11" t="n">
        <x:f>IF(AND(B16&lt;&gt;"reporting_ready",C16="reporting_ready"),O16,"")</x:f>
        <x:v>167.20000000000002</x:v>
      </x:c>
      <x:c r="R16" s="9" t="n">
        <x:v>0</x:v>
      </x:c>
      <x:c r="S16" s="10" t="str">
        <x:v>MAP-CR004</x:v>
      </x:c>
      <x:c r="T16" s="10" t="str">
        <x:v>MAP-004</x:v>
      </x:c>
      <x:c r="U16" s="1"/>
      <x:c r="V16" s="1"/>
    </x:row>
    <x:row r="17" ht="24" customHeight="1">
      <x:c r="A17" s="10" t="str">
        <x:v>RCV-0012</x:v>
      </x:c>
      <x:c r="B17" s="10" t="str">
        <x:v>review</x:v>
      </x:c>
      <x:c r="C17" s="10" t="str">
        <x:v>review</x:v>
      </x:c>
      <x:c r="D17" s="10"/>
      <x:c r="E17" s="9" t="str">
        <x:v>B-0923</x:v>
      </x:c>
      <x:c r="F17" s="12" t="n">
        <x:f>'02 Evidence'!H17</x:f>
        <x:v>25</x:v>
      </x:c>
      <x:c r="G17" s="9" t="str">
        <x:v>kg</x:v>
      </x:c>
      <x:c r="H17" s="9"/>
      <x:c r="I17" s="12"/>
      <x:c r="J17" s="12"/>
      <x:c r="K17" s="12" t="str">
        <x:f>IF(I17="","",F17*I17)</x:f>
      </x:c>
      <x:c r="L17" s="12" t="str">
        <x:f>IF(J17="","",F17*J17)</x:f>
      </x:c>
      <x:c r="M17" s="11"/>
      <x:c r="N17" s="11" t="str">
        <x:f>IF(K17="","",K17*M17)</x:f>
      </x:c>
      <x:c r="O17" s="11" t="str">
        <x:f>IF(L17="","",L17*M17)</x:f>
      </x:c>
      <x:c r="P17" s="11" t="str">
        <x:f>IF(AND(B17="reporting_ready",C17="reporting_ready"),O17-N17,"")</x:f>
      </x:c>
      <x:c r="Q17" s="11" t="str">
        <x:f>IF(AND(B17&lt;&gt;"reporting_ready",C17="reporting_ready"),O17,"")</x:f>
      </x:c>
      <x:c r="R17" s="9" t="n">
        <x:v>0</x:v>
      </x:c>
      <x:c r="S17" s="10"/>
      <x:c r="T17" s="10"/>
      <x:c r="U17" s="1"/>
      <x:c r="V17" s="1"/>
    </x:row>
    <x:row r="18" ht="24" customHeight="1">
      <x:c r="A18" s="10" t="str">
        <x:v>RCV-0013</x:v>
      </x:c>
      <x:c r="B18" s="10" t="str">
        <x:v>reporting_ready</x:v>
      </x:c>
      <x:c r="C18" s="10" t="str">
        <x:v>reporting_ready</x:v>
      </x:c>
      <x:c r="D18" s="10" t="str">
        <x:v>SKU-FLU-WHT-006</x:v>
      </x:c>
      <x:c r="E18" s="9" t="str">
        <x:v>B-0925</x:v>
      </x:c>
      <x:c r="F18" s="12" t="n">
        <x:f>'02 Evidence'!H18</x:f>
        <x:v>90</x:v>
      </x:c>
      <x:c r="G18" s="9" t="str">
        <x:v>kg</x:v>
      </x:c>
      <x:c r="H18" s="9" t="str">
        <x:v>kg</x:v>
      </x:c>
      <x:c r="I18" s="12" t="n">
        <x:v>1</x:v>
      </x:c>
      <x:c r="J18" s="12" t="n">
        <x:v>1</x:v>
      </x:c>
      <x:c r="K18" s="12" t="n">
        <x:f>IF(I18="","",F18*I18)</x:f>
        <x:v>90</x:v>
      </x:c>
      <x:c r="L18" s="12" t="n">
        <x:f>IF(J18="","",F18*J18)</x:f>
        <x:v>90</x:v>
      </x:c>
      <x:c r="M18" s="11" t="n">
        <x:f>'09 Sources'!D11</x:f>
        <x:v>1.6</x:v>
      </x:c>
      <x:c r="N18" s="11" t="n">
        <x:f>IF(K18="","",K18*M18)</x:f>
        <x:v>144</x:v>
      </x:c>
      <x:c r="O18" s="11" t="n">
        <x:f>IF(L18="","",L18*M18)</x:f>
        <x:v>144</x:v>
      </x:c>
      <x:c r="P18" s="11" t="n">
        <x:f>IF(AND(B18="reporting_ready",C18="reporting_ready"),O18-N18,"")</x:f>
        <x:v>0</x:v>
      </x:c>
      <x:c r="Q18" s="11" t="str">
        <x:f>IF(AND(B18&lt;&gt;"reporting_ready",C18="reporting_ready"),O18,"")</x:f>
      </x:c>
      <x:c r="R18" s="9" t="n">
        <x:v>0</x:v>
      </x:c>
      <x:c r="S18" s="10" t="str">
        <x:v>MAP-007</x:v>
      </x:c>
      <x:c r="T18" s="10" t="str">
        <x:v>MAP-007</x:v>
      </x:c>
      <x:c r="U18" s="1"/>
      <x:c r="V18" s="1"/>
    </x:row>
    <x:row r="19" ht="24" customHeight="1">
      <x:c r="A19" s="10" t="str">
        <x:v>RCV-0014</x:v>
      </x:c>
      <x:c r="B19" s="10" t="str">
        <x:v>review</x:v>
      </x:c>
      <x:c r="C19" s="10" t="str">
        <x:v>review</x:v>
      </x:c>
      <x:c r="D19" s="10"/>
      <x:c r="E19" s="9" t="str">
        <x:v>B-0927</x:v>
      </x:c>
      <x:c r="F19" s="12" t="n">
        <x:f>'02 Evidence'!H19</x:f>
        <x:v>40</x:v>
      </x:c>
      <x:c r="G19" s="9" t="str">
        <x:v>kg</x:v>
      </x:c>
      <x:c r="H19" s="9"/>
      <x:c r="I19" s="12"/>
      <x:c r="J19" s="12"/>
      <x:c r="K19" s="12" t="str">
        <x:f>IF(I19="","",F19*I19)</x:f>
      </x:c>
      <x:c r="L19" s="12" t="str">
        <x:f>IF(J19="","",F19*J19)</x:f>
      </x:c>
      <x:c r="M19" s="11"/>
      <x:c r="N19" s="11" t="str">
        <x:f>IF(K19="","",K19*M19)</x:f>
      </x:c>
      <x:c r="O19" s="11" t="str">
        <x:f>IF(L19="","",L19*M19)</x:f>
      </x:c>
      <x:c r="P19" s="11" t="str">
        <x:f>IF(AND(B19="reporting_ready",C19="reporting_ready"),O19-N19,"")</x:f>
      </x:c>
      <x:c r="Q19" s="11" t="str">
        <x:f>IF(AND(B19&lt;&gt;"reporting_ready",C19="reporting_ready"),O19,"")</x:f>
      </x:c>
      <x:c r="R19" s="9" t="n">
        <x:v>0</x:v>
      </x:c>
      <x:c r="S19" s="10"/>
      <x:c r="T19" s="10"/>
      <x:c r="U19" s="1"/>
      <x:c r="V19" s="1"/>
    </x:row>
    <x:row r="20" ht="24" customHeight="1">
      <x:c r="A20" s="10" t="str">
        <x:v>RCV-0015</x:v>
      </x:c>
      <x:c r="B20" s="10" t="str">
        <x:v>review</x:v>
      </x:c>
      <x:c r="C20" s="10" t="str">
        <x:v>reporting_ready</x:v>
      </x:c>
      <x:c r="D20" s="10" t="str">
        <x:v>SKU-APL-JCE-003</x:v>
      </x:c>
      <x:c r="E20" s="9" t="str">
        <x:v>B-0914</x:v>
      </x:c>
      <x:c r="F20" s="12" t="n">
        <x:f>'02 Evidence'!H20</x:f>
        <x:v>60</x:v>
      </x:c>
      <x:c r="G20" s="9" t="str">
        <x:v>L</x:v>
      </x:c>
      <x:c r="H20" s="9" t="str">
        <x:v>kg</x:v>
      </x:c>
      <x:c r="I20" s="12"/>
      <x:c r="J20" s="12" t="n">
        <x:v>0.95</x:v>
      </x:c>
      <x:c r="K20" s="12" t="str">
        <x:f>IF(I20="","",F20*I20)</x:f>
      </x:c>
      <x:c r="L20" s="12" t="n">
        <x:f>IF(J20="","",F20*J20)</x:f>
        <x:v>57</x:v>
      </x:c>
      <x:c r="M20" s="11" t="n">
        <x:f>'09 Sources'!D8</x:f>
        <x:v>3.2</x:v>
      </x:c>
      <x:c r="N20" s="11" t="str">
        <x:f>IF(K20="","",K20*M20)</x:f>
      </x:c>
      <x:c r="O20" s="11" t="n">
        <x:f>IF(L20="","",L20*M20)</x:f>
        <x:v>182.4</x:v>
      </x:c>
      <x:c r="P20" s="11" t="str">
        <x:f>IF(AND(B20="reporting_ready",C20="reporting_ready"),O20-N20,"")</x:f>
      </x:c>
      <x:c r="Q20" s="11" t="n">
        <x:f>IF(AND(B20&lt;&gt;"reporting_ready",C20="reporting_ready"),O20,"")</x:f>
        <x:v>182.4</x:v>
      </x:c>
      <x:c r="R20" s="9" t="n">
        <x:v>1</x:v>
      </x:c>
      <x:c r="S20" s="10" t="str">
        <x:v>MAP-CR004</x:v>
      </x:c>
      <x:c r="T20" s="10" t="str">
        <x:v>MAP-004</x:v>
      </x:c>
      <x:c r="U20" s="1"/>
      <x:c r="V20" s="1"/>
    </x:row>
    <x:row r="21" ht="24" customHeight="1">
      <x:c r="A21" s="10" t="str">
        <x:v>RCV-0016</x:v>
      </x:c>
      <x:c r="B21" s="10" t="str">
        <x:v>duplicate_excluded</x:v>
      </x:c>
      <x:c r="C21" s="10" t="str">
        <x:v>duplicate_excluded</x:v>
      </x:c>
      <x:c r="D21" s="10" t="str">
        <x:v>SKU-FZN-BER-001</x:v>
      </x:c>
      <x:c r="E21" s="9" t="str">
        <x:v>B-0907</x:v>
      </x:c>
      <x:c r="F21" s="12" t="n">
        <x:f>'02 Evidence'!H21</x:f>
        <x:v>12</x:v>
      </x:c>
      <x:c r="G21" s="9" t="str">
        <x:v>CASE</x:v>
      </x:c>
      <x:c r="H21" s="9" t="str">
        <x:v>kg</x:v>
      </x:c>
      <x:c r="I21" s="12" t="n">
        <x:v>10</x:v>
      </x:c>
      <x:c r="J21" s="12" t="n">
        <x:v>12</x:v>
      </x:c>
      <x:c r="K21" s="12" t="n">
        <x:f>IF(I21="","",F21*I21)</x:f>
        <x:v>120</x:v>
      </x:c>
      <x:c r="L21" s="12" t="n">
        <x:f>IF(J21="","",F21*J21)</x:f>
        <x:v>144</x:v>
      </x:c>
      <x:c r="M21" s="11" t="n">
        <x:f>'09 Sources'!D6</x:f>
        <x:v>8.5</x:v>
      </x:c>
      <x:c r="N21" s="11" t="n">
        <x:f>IF(K21="","",K21*M21)</x:f>
        <x:v>1020</x:v>
      </x:c>
      <x:c r="O21" s="11" t="n">
        <x:f>IF(L21="","",L21*M21)</x:f>
        <x:v>1224</x:v>
      </x:c>
      <x:c r="P21" s="11" t="str">
        <x:f>IF(AND(B21="reporting_ready",C21="reporting_ready"),O21-N21,"")</x:f>
      </x:c>
      <x:c r="Q21" s="11" t="str">
        <x:f>IF(AND(B21&lt;&gt;"reporting_ready",C21="reporting_ready"),O21,"")</x:f>
      </x:c>
      <x:c r="R21" s="9" t="n">
        <x:v>0</x:v>
      </x:c>
      <x:c r="S21" s="10" t="str">
        <x:v>MAP-CR001</x:v>
      </x:c>
      <x:c r="T21" s="10" t="str">
        <x:v>MAP-001</x:v>
      </x:c>
      <x:c r="U21" s="1"/>
      <x:c r="V21" s="1"/>
    </x:row>
    <x:row r="22" ht="24" customHeight="1">
      <x:c r="A22" s="10" t="str">
        <x:v>RCV-0017</x:v>
      </x:c>
      <x:c r="B22" s="10" t="str">
        <x:v>reporting_ready</x:v>
      </x:c>
      <x:c r="C22" s="10" t="str">
        <x:v>reporting_ready</x:v>
      </x:c>
      <x:c r="D22" s="10" t="str">
        <x:v>SKU-FZN-MAN-002</x:v>
      </x:c>
      <x:c r="E22" s="9" t="str">
        <x:v>B-0904</x:v>
      </x:c>
      <x:c r="F22" s="12" t="n">
        <x:f>'02 Evidence'!H22</x:f>
        <x:v>55</x:v>
      </x:c>
      <x:c r="G22" s="9" t="str">
        <x:v>kg</x:v>
      </x:c>
      <x:c r="H22" s="9" t="str">
        <x:v>kg</x:v>
      </x:c>
      <x:c r="I22" s="12" t="n">
        <x:v>1</x:v>
      </x:c>
      <x:c r="J22" s="12" t="n">
        <x:v>1</x:v>
      </x:c>
      <x:c r="K22" s="12" t="n">
        <x:f>IF(I22="","",F22*I22)</x:f>
        <x:v>55</x:v>
      </x:c>
      <x:c r="L22" s="12" t="n">
        <x:f>IF(J22="","",F22*J22)</x:f>
        <x:v>55</x:v>
      </x:c>
      <x:c r="M22" s="11" t="n">
        <x:f>'09 Sources'!D7</x:f>
        <x:v>6</x:v>
      </x:c>
      <x:c r="N22" s="11" t="n">
        <x:f>IF(K22="","",K22*M22)</x:f>
        <x:v>330</x:v>
      </x:c>
      <x:c r="O22" s="11" t="n">
        <x:f>IF(L22="","",L22*M22)</x:f>
        <x:v>330</x:v>
      </x:c>
      <x:c r="P22" s="11" t="n">
        <x:f>IF(AND(B22="reporting_ready",C22="reporting_ready"),O22-N22,"")</x:f>
        <x:v>0</x:v>
      </x:c>
      <x:c r="Q22" s="11" t="str">
        <x:f>IF(AND(B22&lt;&gt;"reporting_ready",C22="reporting_ready"),O22,"")</x:f>
      </x:c>
      <x:c r="R22" s="9" t="n">
        <x:v>0</x:v>
      </x:c>
      <x:c r="S22" s="10" t="str">
        <x:v>MAP-003</x:v>
      </x:c>
      <x:c r="T22" s="10" t="str">
        <x:v>MAP-003</x:v>
      </x:c>
      <x:c r="U22" s="1"/>
      <x:c r="V22" s="1"/>
    </x:row>
    <x:row r="23" ht="24" customHeight="1">
      <x:c r="A23" s="10" t="str">
        <x:v>RCV-0018</x:v>
      </x:c>
      <x:c r="B23" s="10" t="str">
        <x:v>reporting_ready</x:v>
      </x:c>
      <x:c r="C23" s="10" t="str">
        <x:v>reporting_ready</x:v>
      </x:c>
      <x:c r="D23" s="10" t="str">
        <x:v>SKU-SGR-WHT-007</x:v>
      </x:c>
      <x:c r="E23" s="9" t="str">
        <x:v>B-0908</x:v>
      </x:c>
      <x:c r="F23" s="12" t="n">
        <x:f>'02 Evidence'!H23</x:f>
        <x:v>380</x:v>
      </x:c>
      <x:c r="G23" s="9" t="str">
        <x:v>kg</x:v>
      </x:c>
      <x:c r="H23" s="9" t="str">
        <x:v>kg</x:v>
      </x:c>
      <x:c r="I23" s="12" t="n">
        <x:v>1</x:v>
      </x:c>
      <x:c r="J23" s="12" t="n">
        <x:v>1</x:v>
      </x:c>
      <x:c r="K23" s="12" t="n">
        <x:f>IF(I23="","",F23*I23)</x:f>
        <x:v>380</x:v>
      </x:c>
      <x:c r="L23" s="12" t="n">
        <x:f>IF(J23="","",F23*J23)</x:f>
        <x:v>380</x:v>
      </x:c>
      <x:c r="M23" s="11" t="n">
        <x:f>'09 Sources'!D12</x:f>
        <x:v>1.4</x:v>
      </x:c>
      <x:c r="N23" s="11" t="n">
        <x:f>IF(K23="","",K23*M23)</x:f>
        <x:v>532</x:v>
      </x:c>
      <x:c r="O23" s="11" t="n">
        <x:f>IF(L23="","",L23*M23)</x:f>
        <x:v>532</x:v>
      </x:c>
      <x:c r="P23" s="11" t="n">
        <x:f>IF(AND(B23="reporting_ready",C23="reporting_ready"),O23-N23,"")</x:f>
        <x:v>0</x:v>
      </x:c>
      <x:c r="Q23" s="11" t="str">
        <x:f>IF(AND(B23&lt;&gt;"reporting_ready",C23="reporting_ready"),O23,"")</x:f>
      </x:c>
      <x:c r="R23" s="9" t="n">
        <x:v>0</x:v>
      </x:c>
      <x:c r="S23" s="10" t="str">
        <x:v>MAP-008</x:v>
      </x:c>
      <x:c r="T23" s="10" t="str">
        <x:v>MAP-008</x:v>
      </x:c>
      <x:c r="U23" s="1"/>
      <x:c r="V23" s="1"/>
    </x:row>
    <x:row r="24" ht="24" customHeight="1">
      <x:c r="A24" s="10" t="str">
        <x:v>RCV-0019</x:v>
      </x:c>
      <x:c r="B24" s="10" t="str">
        <x:v>reporting_ready</x:v>
      </x:c>
      <x:c r="C24" s="10" t="str">
        <x:v>reporting_ready</x:v>
      </x:c>
      <x:c r="D24" s="10" t="str">
        <x:v>SKU-CHS-SAU-008</x:v>
      </x:c>
      <x:c r="E24" s="9" t="str">
        <x:v>B-0910</x:v>
      </x:c>
      <x:c r="F24" s="12" t="n">
        <x:f>'02 Evidence'!H24</x:f>
        <x:v>42</x:v>
      </x:c>
      <x:c r="G24" s="9" t="str">
        <x:v>kg</x:v>
      </x:c>
      <x:c r="H24" s="9" t="str">
        <x:v>kg</x:v>
      </x:c>
      <x:c r="I24" s="12" t="n">
        <x:v>1</x:v>
      </x:c>
      <x:c r="J24" s="12" t="n">
        <x:v>1</x:v>
      </x:c>
      <x:c r="K24" s="12" t="n">
        <x:f>IF(I24="","",F24*I24)</x:f>
        <x:v>42</x:v>
      </x:c>
      <x:c r="L24" s="12" t="n">
        <x:f>IF(J24="","",F24*J24)</x:f>
        <x:v>42</x:v>
      </x:c>
      <x:c r="M24" s="11" t="n">
        <x:f>'09 Sources'!D13</x:f>
        <x:v>5</x:v>
      </x:c>
      <x:c r="N24" s="11" t="n">
        <x:f>IF(K24="","",K24*M24)</x:f>
        <x:v>210</x:v>
      </x:c>
      <x:c r="O24" s="11" t="n">
        <x:f>IF(L24="","",L24*M24)</x:f>
        <x:v>210</x:v>
      </x:c>
      <x:c r="P24" s="11" t="n">
        <x:f>IF(AND(B24="reporting_ready",C24="reporting_ready"),O24-N24,"")</x:f>
        <x:v>0</x:v>
      </x:c>
      <x:c r="Q24" s="11" t="str">
        <x:f>IF(AND(B24&lt;&gt;"reporting_ready",C24="reporting_ready"),O24,"")</x:f>
      </x:c>
      <x:c r="R24" s="9" t="n">
        <x:v>0</x:v>
      </x:c>
      <x:c r="S24" s="10" t="str">
        <x:v>MAP-009</x:v>
      </x:c>
      <x:c r="T24" s="10" t="str">
        <x:v>MAP-009</x:v>
      </x:c>
      <x:c r="U24" s="1"/>
      <x:c r="V24" s="1"/>
    </x:row>
    <x:row r="25" ht="24" customHeight="1">
      <x:c r="A25" s="10" t="str">
        <x:v>RCV-0020</x:v>
      </x:c>
      <x:c r="B25" s="10" t="str">
        <x:v>reporting_ready</x:v>
      </x:c>
      <x:c r="C25" s="10" t="str">
        <x:v>reporting_ready</x:v>
      </x:c>
      <x:c r="D25" s="10" t="str">
        <x:v>SKU-PLS-TOM-004</x:v>
      </x:c>
      <x:c r="E25" s="9" t="str">
        <x:v>B-0920</x:v>
      </x:c>
      <x:c r="F25" s="12" t="n">
        <x:f>'02 Evidence'!H25</x:f>
        <x:v>95</x:v>
      </x:c>
      <x:c r="G25" s="9" t="str">
        <x:v>kg</x:v>
      </x:c>
      <x:c r="H25" s="9" t="str">
        <x:v>kg</x:v>
      </x:c>
      <x:c r="I25" s="12" t="n">
        <x:v>1</x:v>
      </x:c>
      <x:c r="J25" s="12" t="n">
        <x:v>1</x:v>
      </x:c>
      <x:c r="K25" s="12" t="n">
        <x:f>IF(I25="","",F25*I25)</x:f>
        <x:v>95</x:v>
      </x:c>
      <x:c r="L25" s="12" t="n">
        <x:f>IF(J25="","",F25*J25)</x:f>
        <x:v>95</x:v>
      </x:c>
      <x:c r="M25" s="11" t="n">
        <x:f>'09 Sources'!D9</x:f>
        <x:v>2.8</x:v>
      </x:c>
      <x:c r="N25" s="11" t="n">
        <x:f>IF(K25="","",K25*M25)</x:f>
        <x:v>266</x:v>
      </x:c>
      <x:c r="O25" s="11" t="n">
        <x:f>IF(L25="","",L25*M25)</x:f>
        <x:v>266</x:v>
      </x:c>
      <x:c r="P25" s="11" t="n">
        <x:f>IF(AND(B25="reporting_ready",C25="reporting_ready"),O25-N25,"")</x:f>
        <x:v>0</x:v>
      </x:c>
      <x:c r="Q25" s="11" t="str">
        <x:f>IF(AND(B25&lt;&gt;"reporting_ready",C25="reporting_ready"),O25,"")</x:f>
      </x:c>
      <x:c r="R25" s="9" t="n">
        <x:v>0</x:v>
      </x:c>
      <x:c r="S25" s="10" t="str">
        <x:v>MAP-005</x:v>
      </x:c>
      <x:c r="T25" s="10" t="str">
        <x:v>MAP-005</x:v>
      </x:c>
      <x:c r="U25" s="1"/>
      <x:c r="V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</x:sheetData>
  <x:pageMargins left="0.7" right="0.7" top="0.75" bottom="0.75" header="0.3" footer="0.3"/>
  <x:tableParts count="1">
    <x:tablePart xmlns:r="http://schemas.openxmlformats.org/officeDocument/2006/relationships" r:id="Ra561d457f4f744b6"/>
  </x:tableParts>
</x:worksheet>
</file>

<file path=xl/worksheets/sheet9.xml><?xml version="1.0" encoding="utf-8"?>
<x:worksheet xmlns:x="http://schemas.openxmlformats.org/spreadsheetml/2006/main">
  <x:sheetPr>
    <x:tabColor rgb="FFD9E2E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55" hidden="0" customWidth="1"/>
    <x:col min="12" max="12" width="34" hidden="0" customWidth="1"/>
    <x:col min="13" max="13" width="18" hidden="0" customWidth="1"/>
    <x:col min="14" max="14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Synthetic source 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Costs exclude GST. Counts exclude held receipts. No additional inbound before 3 October.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8" customHeight="1">
      <x:c r="A5" s="8" t="str">
        <x:v>SKU</x:v>
      </x:c>
      <x:c r="B5" s="8" t="str">
        <x:v>Product</x:v>
      </x:c>
      <x:c r="C5" s="8" t="str">
        <x:v>Base UoM</x:v>
      </x:c>
      <x:c r="D5" s="8" t="str">
        <x:v>Cost NZD/base</x:v>
      </x:c>
      <x:c r="E5" s="8" t="str">
        <x:v>Opening 31 Aug</x:v>
      </x:c>
      <x:c r="F5" s="8" t="str">
        <x:v>Count 30 Sep</x:v>
      </x:c>
      <x:c r="G5" s="8" t="str">
        <x:v>Signed issues</x:v>
      </x:c>
      <x:c r="H5" s="8" t="str">
        <x:v>Demand qty</x:v>
      </x:c>
      <x:c r="I5" s="8" t="str">
        <x:v>Demand date</x:v>
      </x:c>
      <x:c r="J5" s="8" t="str">
        <x:v>Order</x:v>
      </x:c>
      <x:c r="K5" s="8" t="str">
        <x:v>Count / issue evidence</x:v>
      </x:c>
      <x:c r="L5" s="8" t="str">
        <x:v>Demand evidence</x:v>
      </x:c>
      <x:c r="M5" s="1"/>
      <x:c r="N5" s="1"/>
    </x:row>
    <x:row r="6" ht="24" customHeight="1">
      <x:c r="A6" s="10" t="str">
        <x:v>SKU-FZN-BER-001</x:v>
      </x:c>
      <x:c r="B6" s="10" t="str">
        <x:v>Frozen Blueberries</x:v>
      </x:c>
      <x:c r="C6" s="9" t="str">
        <x:v>kg</x:v>
      </x:c>
      <x:c r="D6" s="11" t="n">
        <x:v>8.5</x:v>
      </x:c>
      <x:c r="E6" s="12" t="n">
        <x:v>500</x:v>
      </x:c>
      <x:c r="F6" s="12" t="n">
        <x:v>644</x:v>
      </x:c>
      <x:c r="G6" s="12" t="n">
        <x:v>-300</x:v>
      </x:c>
      <x:c r="H6" s="12" t="n">
        <x:v>660</x:v>
      </x:c>
      <x:c r="I6" s="13" t="n">
        <x:v>46298</x:v>
      </x:c>
      <x:c r="J6" s="9" t="str">
        <x:v>PLAN-001</x:v>
      </x:c>
      <x:c r="K6" s="10" t="str">
        <x:v>COUNT-OPEN-01; COUNT-CLOSE-01; ISSUE-DOC-001</x:v>
      </x:c>
      <x:c r="L6" s="10" t="str">
        <x:v>SYNTHETIC-PLAN-OCT03</x:v>
      </x:c>
      <x:c r="M6" s="1"/>
      <x:c r="N6" s="1"/>
    </x:row>
    <x:row r="7" ht="24" customHeight="1">
      <x:c r="A7" s="10" t="str">
        <x:v>SKU-FZN-MAN-002</x:v>
      </x:c>
      <x:c r="B7" s="10" t="str">
        <x:v>Frozen Mango Chunks</x:v>
      </x:c>
      <x:c r="C7" s="9" t="str">
        <x:v>kg</x:v>
      </x:c>
      <x:c r="D7" s="11" t="n">
        <x:v>6</x:v>
      </x:c>
      <x:c r="E7" s="12" t="n">
        <x:v>200</x:v>
      </x:c>
      <x:c r="F7" s="12" t="n">
        <x:v>232</x:v>
      </x:c>
      <x:c r="G7" s="12" t="n">
        <x:v>-80</x:v>
      </x:c>
      <x:c r="H7" s="12" t="n">
        <x:v>220</x:v>
      </x:c>
      <x:c r="I7" s="13" t="n">
        <x:v>46298</x:v>
      </x:c>
      <x:c r="J7" s="9" t="str">
        <x:v>PLAN-002</x:v>
      </x:c>
      <x:c r="K7" s="10" t="str">
        <x:v>COUNT-OPEN-02; COUNT-CLOSE-02; ISSUE-DOC-002</x:v>
      </x:c>
      <x:c r="L7" s="10" t="str">
        <x:v>SYNTHETIC-PLAN-OCT03</x:v>
      </x:c>
      <x:c r="M7" s="1"/>
      <x:c r="N7" s="1"/>
    </x:row>
    <x:row r="8" ht="24" customHeight="1">
      <x:c r="A8" s="10" t="str">
        <x:v>SKU-APL-JCE-003</x:v>
      </x:c>
      <x:c r="B8" s="10" t="str">
        <x:v>Apple Juice Concentrate</x:v>
      </x:c>
      <x:c r="C8" s="9" t="str">
        <x:v>kg</x:v>
      </x:c>
      <x:c r="D8" s="11" t="n">
        <x:v>3.2</x:v>
      </x:c>
      <x:c r="E8" s="12" t="n">
        <x:v>100</x:v>
      </x:c>
      <x:c r="F8" s="12" t="n">
        <x:v>156.75</x:v>
      </x:c>
      <x:c r="G8" s="12" t="n">
        <x:v>-100</x:v>
      </x:c>
      <x:c r="H8" s="12" t="n">
        <x:v>170</x:v>
      </x:c>
      <x:c r="I8" s="13" t="n">
        <x:v>46298</x:v>
      </x:c>
      <x:c r="J8" s="9" t="str">
        <x:v>PLAN-003</x:v>
      </x:c>
      <x:c r="K8" s="10" t="str">
        <x:v>COUNT-OPEN-03; COUNT-CLOSE-03; ISSUE-DOC-003</x:v>
      </x:c>
      <x:c r="L8" s="10" t="str">
        <x:v>SYNTHETIC-PLAN-OCT03</x:v>
      </x:c>
      <x:c r="M8" s="1"/>
      <x:c r="N8" s="1"/>
    </x:row>
    <x:row r="9" ht="24" customHeight="1">
      <x:c r="A9" s="10" t="str">
        <x:v>SKU-PLS-TOM-004</x:v>
      </x:c>
      <x:c r="B9" s="10" t="str">
        <x:v>Tomato Passata</x:v>
      </x:c>
      <x:c r="C9" s="9" t="str">
        <x:v>kg</x:v>
      </x:c>
      <x:c r="D9" s="11" t="n">
        <x:v>2.8</x:v>
      </x:c>
      <x:c r="E9" s="12" t="n">
        <x:v>300</x:v>
      </x:c>
      <x:c r="F9" s="12" t="n">
        <x:v>375</x:v>
      </x:c>
      <x:c r="G9" s="12" t="n">
        <x:v>-120</x:v>
      </x:c>
      <x:c r="H9" s="12" t="n">
        <x:v>300</x:v>
      </x:c>
      <x:c r="I9" s="13" t="n">
        <x:v>46298</x:v>
      </x:c>
      <x:c r="J9" s="9" t="str">
        <x:v>PLAN-004</x:v>
      </x:c>
      <x:c r="K9" s="10" t="str">
        <x:v>COUNT-OPEN-04; COUNT-CLOSE-04; ISSUE-DOC-004</x:v>
      </x:c>
      <x:c r="L9" s="10" t="str">
        <x:v>SYNTHETIC-PLAN-OCT03</x:v>
      </x:c>
      <x:c r="M9" s="1"/>
      <x:c r="N9" s="1"/>
    </x:row>
    <x:row r="10" ht="24" customHeight="1">
      <x:c r="A10" s="10" t="str">
        <x:v>SKU-OIL-SUN-005</x:v>
      </x:c>
      <x:c r="B10" s="10" t="str">
        <x:v>Sunflower Oil</x:v>
      </x:c>
      <x:c r="C10" s="9" t="str">
        <x:v>L</x:v>
      </x:c>
      <x:c r="D10" s="11" t="n">
        <x:v>4.5</x:v>
      </x:c>
      <x:c r="E10" s="12" t="n">
        <x:v>100</x:v>
      </x:c>
      <x:c r="F10" s="12" t="n">
        <x:v>105</x:v>
      </x:c>
      <x:c r="G10" s="12" t="n">
        <x:v>-25</x:v>
      </x:c>
      <x:c r="H10" s="12" t="n">
        <x:v>80</x:v>
      </x:c>
      <x:c r="I10" s="13" t="n">
        <x:v>46298</x:v>
      </x:c>
      <x:c r="J10" s="9" t="str">
        <x:v>PLAN-005</x:v>
      </x:c>
      <x:c r="K10" s="10" t="str">
        <x:v>COUNT-OPEN-05; COUNT-CLOSE-05; ISSUE-DOC-005</x:v>
      </x:c>
      <x:c r="L10" s="10" t="str">
        <x:v>SYNTHETIC-PLAN-OCT03</x:v>
      </x:c>
      <x:c r="M10" s="1"/>
      <x:c r="N10" s="1"/>
    </x:row>
    <x:row r="11" ht="24" customHeight="1">
      <x:c r="A11" s="10" t="str">
        <x:v>SKU-FLU-WHT-006</x:v>
      </x:c>
      <x:c r="B11" s="10" t="str">
        <x:v>Wheat Flour</x:v>
      </x:c>
      <x:c r="C11" s="9" t="str">
        <x:v>kg</x:v>
      </x:c>
      <x:c r="D11" s="11" t="n">
        <x:v>1.6</x:v>
      </x:c>
      <x:c r="E11" s="12" t="n">
        <x:v>200</x:v>
      </x:c>
      <x:c r="F11" s="12" t="n">
        <x:v>270</x:v>
      </x:c>
      <x:c r="G11" s="12" t="n">
        <x:v>-100</x:v>
      </x:c>
      <x:c r="H11" s="12" t="n">
        <x:v>200</x:v>
      </x:c>
      <x:c r="I11" s="13" t="n">
        <x:v>46298</x:v>
      </x:c>
      <x:c r="J11" s="9" t="str">
        <x:v>PLAN-006</x:v>
      </x:c>
      <x:c r="K11" s="10" t="str">
        <x:v>COUNT-OPEN-06; COUNT-CLOSE-06; ISSUE-DOC-006</x:v>
      </x:c>
      <x:c r="L11" s="10" t="str">
        <x:v>SYNTHETIC-PLAN-OCT03</x:v>
      </x:c>
      <x:c r="M11" s="1"/>
      <x:c r="N11" s="1"/>
    </x:row>
    <x:row r="12" ht="24" customHeight="1">
      <x:c r="A12" s="10" t="str">
        <x:v>SKU-SGR-WHT-007</x:v>
      </x:c>
      <x:c r="B12" s="10" t="str">
        <x:v>White Sugar</x:v>
      </x:c>
      <x:c r="C12" s="9" t="str">
        <x:v>kg</x:v>
      </x:c>
      <x:c r="D12" s="11" t="n">
        <x:v>1.4</x:v>
      </x:c>
      <x:c r="E12" s="12" t="n">
        <x:v>500</x:v>
      </x:c>
      <x:c r="F12" s="12" t="n">
        <x:v>780</x:v>
      </x:c>
      <x:c r="G12" s="12" t="n">
        <x:v>-500</x:v>
      </x:c>
      <x:c r="H12" s="12" t="n">
        <x:v>600</x:v>
      </x:c>
      <x:c r="I12" s="13" t="n">
        <x:v>46298</x:v>
      </x:c>
      <x:c r="J12" s="9" t="str">
        <x:v>PLAN-007</x:v>
      </x:c>
      <x:c r="K12" s="10" t="str">
        <x:v>COUNT-OPEN-07; COUNT-CLOSE-07; ISSUE-DOC-007</x:v>
      </x:c>
      <x:c r="L12" s="10" t="str">
        <x:v>SYNTHETIC-PLAN-OCT03</x:v>
      </x:c>
      <x:c r="M12" s="1"/>
      <x:c r="N12" s="1"/>
    </x:row>
    <x:row r="13" ht="24" customHeight="1">
      <x:c r="A13" s="10" t="str">
        <x:v>SKU-CHS-SAU-008</x:v>
      </x:c>
      <x:c r="B13" s="10" t="str">
        <x:v>Cheese Sauce Base</x:v>
      </x:c>
      <x:c r="C13" s="9" t="str">
        <x:v>kg</x:v>
      </x:c>
      <x:c r="D13" s="11" t="n">
        <x:v>5</x:v>
      </x:c>
      <x:c r="E13" s="12" t="n">
        <x:v>100</x:v>
      </x:c>
      <x:c r="F13" s="12" t="n">
        <x:v>137</x:v>
      </x:c>
      <x:c r="G13" s="12" t="n">
        <x:v>-50</x:v>
      </x:c>
      <x:c r="H13" s="12" t="n">
        <x:v>100</x:v>
      </x:c>
      <x:c r="I13" s="13" t="n">
        <x:v>46298</x:v>
      </x:c>
      <x:c r="J13" s="9" t="str">
        <x:v>PLAN-008</x:v>
      </x:c>
      <x:c r="K13" s="10" t="str">
        <x:v>COUNT-OPEN-08; COUNT-CLOSE-08; ISSUE-DOC-008</x:v>
      </x:c>
      <x:c r="L13" s="10" t="str">
        <x:v>SYNTHETIC-PLAN-OCT03</x:v>
      </x:c>
      <x:c r="M13" s="1"/>
      <x:c r="N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1" t="str">
        <x:v>Source: synthetic products, opening/closing counts, production issues and dated material requirements.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4" customHeight="1">
      <x:c r="A19" s="1" t="str">
        <x:v>The 0.95 kg/L factor is a synthetic approved specification, not a universal density.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4" customHeight="1">
      <x:c r="A21" s="1" t="str">
        <x:v>Input edits recalculate arithmetic. Rerun Python for changes to mapping/date/approval selection or action evidence.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4" customHeight="1">
      <x:c r="A23" s="1" t="str">
        <x:v>Review date</x:v>
      </x:c>
      <x:c r="B23" s="14" t="n">
        <x:v>46297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</x:sheetData>
  <x:pageMargins left="0.7" right="0.7" top="0.75" bottom="0.75" header="0.3" footer="0.3"/>
  <x:tableParts count="1">
    <x:tablePart xmlns:r="http://schemas.openxmlformats.org/officeDocument/2006/relationships" r:id="Rc4d0f56e30784fbf"/>
  </x:tableParts>
</x:worksheet>
</file>

<file path=xl/worksheets/sheet10.xml><?xml version="1.0" encoding="utf-8"?>
<x:worksheet xmlns:x="http://schemas.openxmlformats.org/spreadsheetml/2006/main">
  <x:sheetPr>
    <x:tabColor rgb="FFD9E2E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3 October material availability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Available = lower of eligible ledger stock and counted available stock. No additional inbound assumed.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8" t="str">
        <x:v>Order</x:v>
      </x:c>
      <x:c r="B5" s="8" t="str">
        <x:v>SKU</x:v>
      </x:c>
      <x:c r="C5" s="8" t="str">
        <x:v>UoM</x:v>
      </x:c>
      <x:c r="D5" s="8" t="str">
        <x:v>Required date</x:v>
      </x:c>
      <x:c r="E5" s="8" t="str">
        <x:v>Required qty</x:v>
      </x:c>
      <x:c r="F5" s="8" t="str">
        <x:v>Available qty</x:v>
      </x:c>
      <x:c r="G5" s="8" t="str">
        <x:v>Shortfall qty</x:v>
      </x:c>
      <x:c r="H5" s="8" t="str">
        <x:v>Cost NZD/base</x:v>
      </x:c>
      <x:c r="I5" s="8" t="str">
        <x:v>Material gap NZD</x:v>
      </x:c>
      <x:c r="J5" s="8" t="str">
        <x:v>Risk</x:v>
      </x:c>
      <x:c r="K5" s="1"/>
      <x:c r="L5" s="1"/>
    </x:row>
    <x:row r="6" ht="24" customHeight="1">
      <x:c r="A6" s="10" t="str">
        <x:v>PLAN-001</x:v>
      </x:c>
      <x:c r="B6" s="10" t="str">
        <x:v>SKU-FZN-BER-001</x:v>
      </x:c>
      <x:c r="C6" s="9" t="str">
        <x:v>kg</x:v>
      </x:c>
      <x:c r="D6" s="13" t="n">
        <x:f>'09 Sources'!I6</x:f>
        <x:v>46298</x:v>
      </x:c>
      <x:c r="E6" s="12" t="n">
        <x:f>'09 Sources'!H6</x:f>
        <x:v>660</x:v>
      </x:c>
      <x:c r="F6" s="12" t="n">
        <x:f>MAX(MIN('07 Inventory'!H6,'07 Inventory'!I6),0)</x:f>
        <x:v>644</x:v>
      </x:c>
      <x:c r="G6" s="12" t="n">
        <x:f>MAX(E6-F6,0)</x:f>
        <x:v>16</x:v>
      </x:c>
      <x:c r="H6" s="11" t="n">
        <x:f>'09 Sources'!D6</x:f>
        <x:v>8.5</x:v>
      </x:c>
      <x:c r="I6" s="11" t="n">
        <x:f>G6*H6</x:f>
        <x:v>136</x:v>
      </x:c>
      <x:c r="J6" s="10" t="str">
        <x:f>IF(G6&gt;0,"material_shortfall","covered")</x:f>
        <x:v>material_shortfall</x:v>
      </x:c>
      <x:c r="K6" s="1"/>
      <x:c r="L6" s="1"/>
    </x:row>
    <x:row r="7" ht="24" customHeight="1">
      <x:c r="A7" s="10" t="str">
        <x:v>PLAN-002</x:v>
      </x:c>
      <x:c r="B7" s="10" t="str">
        <x:v>SKU-FZN-MAN-002</x:v>
      </x:c>
      <x:c r="C7" s="9" t="str">
        <x:v>kg</x:v>
      </x:c>
      <x:c r="D7" s="13" t="n">
        <x:f>'09 Sources'!I7</x:f>
        <x:v>46298</x:v>
      </x:c>
      <x:c r="E7" s="12" t="n">
        <x:f>'09 Sources'!H7</x:f>
        <x:v>220</x:v>
      </x:c>
      <x:c r="F7" s="12" t="n">
        <x:f>MAX(MIN('07 Inventory'!H7,'07 Inventory'!I7),0)</x:f>
        <x:v>232</x:v>
      </x:c>
      <x:c r="G7" s="12" t="n">
        <x:f>MAX(E7-F7,0)</x:f>
        <x:v>0</x:v>
      </x:c>
      <x:c r="H7" s="11" t="n">
        <x:f>'09 Sources'!D7</x:f>
        <x:v>6</x:v>
      </x:c>
      <x:c r="I7" s="11" t="n">
        <x:f>G7*H7</x:f>
        <x:v>0</x:v>
      </x:c>
      <x:c r="J7" s="10" t="str">
        <x:f>IF(G7&gt;0,"material_shortfall","covered")</x:f>
        <x:v>covered</x:v>
      </x:c>
      <x:c r="K7" s="1"/>
      <x:c r="L7" s="1"/>
    </x:row>
    <x:row r="8" ht="24" customHeight="1">
      <x:c r="A8" s="10" t="str">
        <x:v>PLAN-003</x:v>
      </x:c>
      <x:c r="B8" s="10" t="str">
        <x:v>SKU-APL-JCE-003</x:v>
      </x:c>
      <x:c r="C8" s="9" t="str">
        <x:v>kg</x:v>
      </x:c>
      <x:c r="D8" s="13" t="n">
        <x:f>'09 Sources'!I8</x:f>
        <x:v>46298</x:v>
      </x:c>
      <x:c r="E8" s="12" t="n">
        <x:f>'09 Sources'!H8</x:f>
        <x:v>170</x:v>
      </x:c>
      <x:c r="F8" s="12" t="n">
        <x:f>MAX(MIN('07 Inventory'!H8,'07 Inventory'!I8),0)</x:f>
        <x:v>156.75</x:v>
      </x:c>
      <x:c r="G8" s="12" t="n">
        <x:f>MAX(E8-F8,0)</x:f>
        <x:v>13.25</x:v>
      </x:c>
      <x:c r="H8" s="11" t="n">
        <x:f>'09 Sources'!D8</x:f>
        <x:v>3.2</x:v>
      </x:c>
      <x:c r="I8" s="11" t="n">
        <x:f>G8*H8</x:f>
        <x:v>42.400000000000006</x:v>
      </x:c>
      <x:c r="J8" s="10" t="str">
        <x:f>IF(G8&gt;0,"material_shortfall","covered")</x:f>
        <x:v>material_shortfall</x:v>
      </x:c>
      <x:c r="K8" s="1"/>
      <x:c r="L8" s="1"/>
    </x:row>
    <x:row r="9" ht="24" customHeight="1">
      <x:c r="A9" s="10" t="str">
        <x:v>PLAN-004</x:v>
      </x:c>
      <x:c r="B9" s="10" t="str">
        <x:v>SKU-PLS-TOM-004</x:v>
      </x:c>
      <x:c r="C9" s="9" t="str">
        <x:v>kg</x:v>
      </x:c>
      <x:c r="D9" s="13" t="n">
        <x:f>'09 Sources'!I9</x:f>
        <x:v>46298</x:v>
      </x:c>
      <x:c r="E9" s="12" t="n">
        <x:f>'09 Sources'!H9</x:f>
        <x:v>300</x:v>
      </x:c>
      <x:c r="F9" s="12" t="n">
        <x:f>MAX(MIN('07 Inventory'!H9,'07 Inventory'!I9),0)</x:f>
        <x:v>375</x:v>
      </x:c>
      <x:c r="G9" s="12" t="n">
        <x:f>MAX(E9-F9,0)</x:f>
        <x:v>0</x:v>
      </x:c>
      <x:c r="H9" s="11" t="n">
        <x:f>'09 Sources'!D9</x:f>
        <x:v>2.8</x:v>
      </x:c>
      <x:c r="I9" s="11" t="n">
        <x:f>G9*H9</x:f>
        <x:v>0</x:v>
      </x:c>
      <x:c r="J9" s="10" t="str">
        <x:f>IF(G9&gt;0,"material_shortfall","covered")</x:f>
        <x:v>covered</x:v>
      </x:c>
      <x:c r="K9" s="1"/>
      <x:c r="L9" s="1"/>
    </x:row>
    <x:row r="10" ht="24" customHeight="1">
      <x:c r="A10" s="10" t="str">
        <x:v>PLAN-005</x:v>
      </x:c>
      <x:c r="B10" s="10" t="str">
        <x:v>SKU-OIL-SUN-005</x:v>
      </x:c>
      <x:c r="C10" s="9" t="str">
        <x:v>L</x:v>
      </x:c>
      <x:c r="D10" s="13" t="n">
        <x:f>'09 Sources'!I10</x:f>
        <x:v>46298</x:v>
      </x:c>
      <x:c r="E10" s="12" t="n">
        <x:f>'09 Sources'!H10</x:f>
        <x:v>80</x:v>
      </x:c>
      <x:c r="F10" s="12" t="n">
        <x:f>MAX(MIN('07 Inventory'!H10,'07 Inventory'!I10),0)</x:f>
        <x:v>105</x:v>
      </x:c>
      <x:c r="G10" s="12" t="n">
        <x:f>MAX(E10-F10,0)</x:f>
        <x:v>0</x:v>
      </x:c>
      <x:c r="H10" s="11" t="n">
        <x:f>'09 Sources'!D10</x:f>
        <x:v>4.5</x:v>
      </x:c>
      <x:c r="I10" s="11" t="n">
        <x:f>G10*H10</x:f>
        <x:v>0</x:v>
      </x:c>
      <x:c r="J10" s="10" t="str">
        <x:f>IF(G10&gt;0,"material_shortfall","covered")</x:f>
        <x:v>covered</x:v>
      </x:c>
      <x:c r="K10" s="1"/>
      <x:c r="L10" s="1"/>
    </x:row>
    <x:row r="11" ht="24" customHeight="1">
      <x:c r="A11" s="10" t="str">
        <x:v>PLAN-006</x:v>
      </x:c>
      <x:c r="B11" s="10" t="str">
        <x:v>SKU-FLU-WHT-006</x:v>
      </x:c>
      <x:c r="C11" s="9" t="str">
        <x:v>kg</x:v>
      </x:c>
      <x:c r="D11" s="13" t="n">
        <x:f>'09 Sources'!I11</x:f>
        <x:v>46298</x:v>
      </x:c>
      <x:c r="E11" s="12" t="n">
        <x:f>'09 Sources'!H11</x:f>
        <x:v>200</x:v>
      </x:c>
      <x:c r="F11" s="12" t="n">
        <x:f>MAX(MIN('07 Inventory'!H11,'07 Inventory'!I11),0)</x:f>
        <x:v>270</x:v>
      </x:c>
      <x:c r="G11" s="12" t="n">
        <x:f>MAX(E11-F11,0)</x:f>
        <x:v>0</x:v>
      </x:c>
      <x:c r="H11" s="11" t="n">
        <x:f>'09 Sources'!D11</x:f>
        <x:v>1.6</x:v>
      </x:c>
      <x:c r="I11" s="11" t="n">
        <x:f>G11*H11</x:f>
        <x:v>0</x:v>
      </x:c>
      <x:c r="J11" s="10" t="str">
        <x:f>IF(G11&gt;0,"material_shortfall","covered")</x:f>
        <x:v>covered</x:v>
      </x:c>
      <x:c r="K11" s="1"/>
      <x:c r="L11" s="1"/>
    </x:row>
    <x:row r="12" ht="24" customHeight="1">
      <x:c r="A12" s="10" t="str">
        <x:v>PLAN-007</x:v>
      </x:c>
      <x:c r="B12" s="10" t="str">
        <x:v>SKU-SGR-WHT-007</x:v>
      </x:c>
      <x:c r="C12" s="9" t="str">
        <x:v>kg</x:v>
      </x:c>
      <x:c r="D12" s="13" t="n">
        <x:f>'09 Sources'!I12</x:f>
        <x:v>46298</x:v>
      </x:c>
      <x:c r="E12" s="12" t="n">
        <x:f>'09 Sources'!H12</x:f>
        <x:v>600</x:v>
      </x:c>
      <x:c r="F12" s="12" t="n">
        <x:f>MAX(MIN('07 Inventory'!H12,'07 Inventory'!I12),0)</x:f>
        <x:v>780</x:v>
      </x:c>
      <x:c r="G12" s="12" t="n">
        <x:f>MAX(E12-F12,0)</x:f>
        <x:v>0</x:v>
      </x:c>
      <x:c r="H12" s="11" t="n">
        <x:f>'09 Sources'!D12</x:f>
        <x:v>1.4</x:v>
      </x:c>
      <x:c r="I12" s="11" t="n">
        <x:f>G12*H12</x:f>
        <x:v>0</x:v>
      </x:c>
      <x:c r="J12" s="10" t="str">
        <x:f>IF(G12&gt;0,"material_shortfall","covered")</x:f>
        <x:v>covered</x:v>
      </x:c>
      <x:c r="K12" s="1"/>
      <x:c r="L12" s="1"/>
    </x:row>
    <x:row r="13" ht="24" customHeight="1">
      <x:c r="A13" s="10" t="str">
        <x:v>PLAN-008</x:v>
      </x:c>
      <x:c r="B13" s="10" t="str">
        <x:v>SKU-CHS-SAU-008</x:v>
      </x:c>
      <x:c r="C13" s="9" t="str">
        <x:v>kg</x:v>
      </x:c>
      <x:c r="D13" s="13" t="n">
        <x:f>'09 Sources'!I13</x:f>
        <x:v>46298</x:v>
      </x:c>
      <x:c r="E13" s="12" t="n">
        <x:f>'09 Sources'!H13</x:f>
        <x:v>100</x:v>
      </x:c>
      <x:c r="F13" s="12" t="n">
        <x:f>MAX(MIN('07 Inventory'!H13,'07 Inventory'!I13),0)</x:f>
        <x:v>137</x:v>
      </x:c>
      <x:c r="G13" s="12" t="n">
        <x:f>MAX(E13-F13,0)</x:f>
        <x:v>0</x:v>
      </x:c>
      <x:c r="H13" s="11" t="n">
        <x:f>'09 Sources'!D13</x:f>
        <x:v>5</x:v>
      </x:c>
      <x:c r="I13" s="11" t="n">
        <x:f>G13*H13</x:f>
        <x:v>0</x:v>
      </x:c>
      <x:c r="J13" s="10" t="str">
        <x:f>IF(G13&gt;0,"material_shortfall","covered")</x:f>
        <x:v>covered</x:v>
      </x:c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conditionalFormatting sqref="G6:G13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42202f023545ee"/>
  </x:tableParts>
</x:worksheet>
</file>

<file path=xl/worksheets/sheet11.xml><?xml version="1.0" encoding="utf-8"?>
<x:worksheet xmlns:x="http://schemas.openxmlformats.org/spreadsheetml/2006/main">
  <x:sheetPr>
    <x:tabColor rgb="FFD9E2E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Mapping versions used in replay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Approved versions preserve history. Mapping selection is performed by the Python pipeline.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8" t="str">
        <x:v>Mapping ID</x:v>
      </x:c>
      <x:c r="B5" s="8" t="str">
        <x:v>Supplier</x:v>
      </x:c>
      <x:c r="C5" s="8" t="str">
        <x:v>Supplier code</x:v>
      </x:c>
      <x:c r="D5" s="8" t="str">
        <x:v>SKU</x:v>
      </x:c>
      <x:c r="E5" s="8" t="str">
        <x:v>Effective from</x:v>
      </x:c>
      <x:c r="F5" s="8" t="str">
        <x:v>Effective to</x:v>
      </x:c>
      <x:c r="G5" s="8" t="str">
        <x:v>Supplier UoM</x:v>
      </x:c>
      <x:c r="H5" s="8" t="str">
        <x:v>Base qty/case</x:v>
      </x:c>
      <x:c r="I5" s="8" t="str">
        <x:v>kg or L per supplier unit</x:v>
      </x:c>
      <x:c r="J5" s="8" t="str">
        <x:v>Approval</x:v>
      </x:c>
      <x:c r="K5" s="1"/>
      <x:c r="L5" s="1"/>
    </x:row>
    <x:row r="6" ht="24" customHeight="1">
      <x:c r="A6" s="10" t="str">
        <x:v>MAP-001</x:v>
      </x:c>
      <x:c r="B6" s="10" t="str">
        <x:v>SUP-NORTHFROST</x:v>
      </x:c>
      <x:c r="C6" s="10" t="str">
        <x:v>NF-BER-10</x:v>
      </x:c>
      <x:c r="D6" s="10" t="str">
        <x:v>SKU-FZN-BER-001</x:v>
      </x:c>
      <x:c r="E6" s="13" t="n">
        <x:v>46023</x:v>
      </x:c>
      <x:c r="F6" s="13" t="n">
        <x:v>46265</x:v>
      </x:c>
      <x:c r="G6" s="9" t="str">
        <x:v>kg</x:v>
      </x:c>
      <x:c r="H6" s="12" t="n">
        <x:v>10</x:v>
      </x:c>
      <x:c r="I6" s="12" t="n">
        <x:v>1</x:v>
      </x:c>
      <x:c r="J6" s="9" t="str">
        <x:v>baseline</x:v>
      </x:c>
      <x:c r="K6" s="1"/>
      <x:c r="L6" s="1"/>
    </x:row>
    <x:row r="7" ht="24" customHeight="1">
      <x:c r="A7" s="10" t="str">
        <x:v>MAP-003</x:v>
      </x:c>
      <x:c r="B7" s="10" t="str">
        <x:v>SUP-NORTHFROST</x:v>
      </x:c>
      <x:c r="C7" s="10" t="str">
        <x:v>NF-MAN-5</x:v>
      </x:c>
      <x:c r="D7" s="10" t="str">
        <x:v>SKU-FZN-MAN-002</x:v>
      </x:c>
      <x:c r="E7" s="13" t="n">
        <x:v>46023</x:v>
      </x:c>
      <x:c r="F7" s="13" t="n">
        <x:v>73050</x:v>
      </x:c>
      <x:c r="G7" s="9" t="str">
        <x:v>kg</x:v>
      </x:c>
      <x:c r="H7" s="12" t="n">
        <x:v>5</x:v>
      </x:c>
      <x:c r="I7" s="12" t="n">
        <x:v>1</x:v>
      </x:c>
      <x:c r="J7" s="9" t="str">
        <x:v>baseline</x:v>
      </x:c>
      <x:c r="K7" s="1"/>
      <x:c r="L7" s="1"/>
    </x:row>
    <x:row r="8" ht="24" customHeight="1">
      <x:c r="A8" s="10" t="str">
        <x:v>MAP-004</x:v>
      </x:c>
      <x:c r="B8" s="10" t="str">
        <x:v>SUNCOAST-BEV</x:v>
      </x:c>
      <x:c r="C8" s="10" t="str">
        <x:v>SC-JCE-20L</x:v>
      </x:c>
      <x:c r="D8" s="10" t="str">
        <x:v>SKU-APL-JCE-003</x:v>
      </x:c>
      <x:c r="E8" s="13" t="n">
        <x:v>46023</x:v>
      </x:c>
      <x:c r="F8" s="13" t="n">
        <x:v>46265</x:v>
      </x:c>
      <x:c r="G8" s="9" t="str">
        <x:v>L</x:v>
      </x:c>
      <x:c r="H8" s="12"/>
      <x:c r="I8" s="12"/>
      <x:c r="J8" s="9" t="str">
        <x:v>baseline</x:v>
      </x:c>
      <x:c r="K8" s="1"/>
      <x:c r="L8" s="1"/>
    </x:row>
    <x:row r="9" ht="24" customHeight="1">
      <x:c r="A9" s="10" t="str">
        <x:v>MAP-005</x:v>
      </x:c>
      <x:c r="B9" s="10" t="str">
        <x:v>SUNCOAST-BEV</x:v>
      </x:c>
      <x:c r="C9" s="10" t="str">
        <x:v>SC-PAS-3KG</x:v>
      </x:c>
      <x:c r="D9" s="10" t="str">
        <x:v>SKU-PLS-TOM-004</x:v>
      </x:c>
      <x:c r="E9" s="13" t="n">
        <x:v>46023</x:v>
      </x:c>
      <x:c r="F9" s="13" t="n">
        <x:v>73050</x:v>
      </x:c>
      <x:c r="G9" s="9" t="str">
        <x:v>kg</x:v>
      </x:c>
      <x:c r="H9" s="12" t="n">
        <x:v>3</x:v>
      </x:c>
      <x:c r="I9" s="12" t="n">
        <x:v>1</x:v>
      </x:c>
      <x:c r="J9" s="9" t="str">
        <x:v>baseline</x:v>
      </x:c>
      <x:c r="K9" s="1"/>
      <x:c r="L9" s="1"/>
    </x:row>
    <x:row r="10" ht="24" customHeight="1">
      <x:c r="A10" s="10" t="str">
        <x:v>MAP-006</x:v>
      </x:c>
      <x:c r="B10" s="10" t="str">
        <x:v>SUP-NORTHFROST</x:v>
      </x:c>
      <x:c r="C10" s="10" t="str">
        <x:v>NF-OIL-20L</x:v>
      </x:c>
      <x:c r="D10" s="10" t="str">
        <x:v>SKU-OIL-SUN-005</x:v>
      </x:c>
      <x:c r="E10" s="13" t="n">
        <x:v>46023</x:v>
      </x:c>
      <x:c r="F10" s="13" t="n">
        <x:v>73050</x:v>
      </x:c>
      <x:c r="G10" s="9" t="str">
        <x:v>L</x:v>
      </x:c>
      <x:c r="H10" s="12" t="n">
        <x:v>20</x:v>
      </x:c>
      <x:c r="I10" s="12" t="n">
        <x:v>1</x:v>
      </x:c>
      <x:c r="J10" s="9" t="str">
        <x:v>baseline</x:v>
      </x:c>
      <x:c r="K10" s="1"/>
      <x:c r="L10" s="1"/>
    </x:row>
    <x:row r="11" ht="24" customHeight="1">
      <x:c r="A11" s="10" t="str">
        <x:v>MAP-007</x:v>
      </x:c>
      <x:c r="B11" s="10" t="str">
        <x:v>MILLERS-DIRECT</x:v>
      </x:c>
      <x:c r="C11" s="10" t="str">
        <x:v>MD-FLU-25</x:v>
      </x:c>
      <x:c r="D11" s="10" t="str">
        <x:v>SKU-FLU-WHT-006</x:v>
      </x:c>
      <x:c r="E11" s="13" t="n">
        <x:v>46023</x:v>
      </x:c>
      <x:c r="F11" s="13" t="n">
        <x:v>73050</x:v>
      </x:c>
      <x:c r="G11" s="9" t="str">
        <x:v>kg</x:v>
      </x:c>
      <x:c r="H11" s="12" t="n">
        <x:v>25</x:v>
      </x:c>
      <x:c r="I11" s="12" t="n">
        <x:v>1</x:v>
      </x:c>
      <x:c r="J11" s="9" t="str">
        <x:v>baseline</x:v>
      </x:c>
      <x:c r="K11" s="1"/>
      <x:c r="L11" s="1"/>
    </x:row>
    <x:row r="12" ht="24" customHeight="1">
      <x:c r="A12" s="10" t="str">
        <x:v>MAP-008</x:v>
      </x:c>
      <x:c r="B12" s="10" t="str">
        <x:v>MILLERS-DIRECT</x:v>
      </x:c>
      <x:c r="C12" s="10" t="str">
        <x:v>MD-SGR-1K</x:v>
      </x:c>
      <x:c r="D12" s="10" t="str">
        <x:v>SKU-SGR-WHT-007</x:v>
      </x:c>
      <x:c r="E12" s="13" t="n">
        <x:v>46023</x:v>
      </x:c>
      <x:c r="F12" s="13" t="n">
        <x:v>73050</x:v>
      </x:c>
      <x:c r="G12" s="9" t="str">
        <x:v>kg</x:v>
      </x:c>
      <x:c r="H12" s="12" t="n">
        <x:v>1</x:v>
      </x:c>
      <x:c r="I12" s="12" t="n">
        <x:v>1</x:v>
      </x:c>
      <x:c r="J12" s="9" t="str">
        <x:v>baseline</x:v>
      </x:c>
      <x:c r="K12" s="1"/>
      <x:c r="L12" s="1"/>
    </x:row>
    <x:row r="13" ht="24" customHeight="1">
      <x:c r="A13" s="10" t="str">
        <x:v>MAP-009</x:v>
      </x:c>
      <x:c r="B13" s="10" t="str">
        <x:v>DAIRYLAND</x:v>
      </x:c>
      <x:c r="C13" s="10" t="str">
        <x:v>DL-SAU-4K</x:v>
      </x:c>
      <x:c r="D13" s="10" t="str">
        <x:v>SKU-CHS-SAU-008</x:v>
      </x:c>
      <x:c r="E13" s="13" t="n">
        <x:v>46023</x:v>
      </x:c>
      <x:c r="F13" s="13" t="n">
        <x:v>73050</x:v>
      </x:c>
      <x:c r="G13" s="9" t="str">
        <x:v>kg</x:v>
      </x:c>
      <x:c r="H13" s="12" t="n">
        <x:v>4</x:v>
      </x:c>
      <x:c r="I13" s="12" t="n">
        <x:v>1</x:v>
      </x:c>
      <x:c r="J13" s="9" t="str">
        <x:v>baseline</x:v>
      </x:c>
      <x:c r="K13" s="1"/>
      <x:c r="L13" s="1"/>
    </x:row>
    <x:row r="14" ht="24" customHeight="1">
      <x:c r="A14" s="10" t="str">
        <x:v>MAP-010</x:v>
      </x:c>
      <x:c r="B14" s="10" t="str">
        <x:v>SUP-NORTHFROST</x:v>
      </x:c>
      <x:c r="C14" s="10" t="str">
        <x:v>NF-AMB-01</x:v>
      </x:c>
      <x:c r="D14" s="10" t="str">
        <x:v>SKU-FZN-BER-001</x:v>
      </x:c>
      <x:c r="E14" s="13" t="n">
        <x:v>46174</x:v>
      </x:c>
      <x:c r="F14" s="13" t="n">
        <x:v>73050</x:v>
      </x:c>
      <x:c r="G14" s="9" t="str">
        <x:v>kg</x:v>
      </x:c>
      <x:c r="H14" s="12" t="n">
        <x:v>10</x:v>
      </x:c>
      <x:c r="I14" s="12" t="n">
        <x:v>1</x:v>
      </x:c>
      <x:c r="J14" s="9" t="str">
        <x:v>baseline</x:v>
      </x:c>
      <x:c r="K14" s="1"/>
      <x:c r="L14" s="1"/>
    </x:row>
    <x:row r="15" ht="24" customHeight="1">
      <x:c r="A15" s="10" t="str">
        <x:v>MAP-011</x:v>
      </x:c>
      <x:c r="B15" s="10" t="str">
        <x:v>SUP-NORTHFROST</x:v>
      </x:c>
      <x:c r="C15" s="10" t="str">
        <x:v>NF-AMB-01</x:v>
      </x:c>
      <x:c r="D15" s="10" t="str">
        <x:v>SKU-FLU-WHT-006</x:v>
      </x:c>
      <x:c r="E15" s="13" t="n">
        <x:v>46174</x:v>
      </x:c>
      <x:c r="F15" s="13" t="n">
        <x:v>73050</x:v>
      </x:c>
      <x:c r="G15" s="9" t="str">
        <x:v>kg</x:v>
      </x:c>
      <x:c r="H15" s="12" t="n">
        <x:v>25</x:v>
      </x:c>
      <x:c r="I15" s="12" t="n">
        <x:v>1</x:v>
      </x:c>
      <x:c r="J15" s="9" t="str">
        <x:v>baseline</x:v>
      </x:c>
      <x:c r="K15" s="1"/>
      <x:c r="L15" s="1"/>
    </x:row>
    <x:row r="16" ht="24" customHeight="1">
      <x:c r="A16" s="10" t="str">
        <x:v>MAP-012</x:v>
      </x:c>
      <x:c r="B16" s="10" t="str">
        <x:v>LEGACY-FROST</x:v>
      </x:c>
      <x:c r="C16" s="10" t="str">
        <x:v>LF-BER-OLD</x:v>
      </x:c>
      <x:c r="D16" s="10" t="str">
        <x:v>SKU-FZN-BER-001</x:v>
      </x:c>
      <x:c r="E16" s="13" t="n">
        <x:v>45658</x:v>
      </x:c>
      <x:c r="F16" s="13" t="n">
        <x:v>46234</x:v>
      </x:c>
      <x:c r="G16" s="9" t="str">
        <x:v>kg</x:v>
      </x:c>
      <x:c r="H16" s="12" t="n">
        <x:v>10</x:v>
      </x:c>
      <x:c r="I16" s="12" t="n">
        <x:v>1</x:v>
      </x:c>
      <x:c r="J16" s="9" t="str">
        <x:v>baseline</x:v>
      </x:c>
      <x:c r="K16" s="1"/>
      <x:c r="L16" s="1"/>
    </x:row>
    <x:row r="17" ht="24" customHeight="1">
      <x:c r="A17" s="10" t="str">
        <x:v>MAP-CR001</x:v>
      </x:c>
      <x:c r="B17" s="10" t="str">
        <x:v>SUP-NORTHFROST</x:v>
      </x:c>
      <x:c r="C17" s="10" t="str">
        <x:v>NF-BER-10</x:v>
      </x:c>
      <x:c r="D17" s="10" t="str">
        <x:v>SKU-FZN-BER-001</x:v>
      </x:c>
      <x:c r="E17" s="13" t="n">
        <x:v>46266</x:v>
      </x:c>
      <x:c r="F17" s="13" t="n">
        <x:v>73050</x:v>
      </x:c>
      <x:c r="G17" s="9" t="str">
        <x:v>kg</x:v>
      </x:c>
      <x:c r="H17" s="12" t="n">
        <x:v>12</x:v>
      </x:c>
      <x:c r="I17" s="12" t="n">
        <x:v>1</x:v>
      </x:c>
      <x:c r="J17" s="9" t="str">
        <x:v>CR-001</x:v>
      </x:c>
      <x:c r="K17" s="1"/>
      <x:c r="L17" s="1"/>
    </x:row>
    <x:row r="18" ht="24" customHeight="1">
      <x:c r="A18" s="10" t="str">
        <x:v>MAP-CR004</x:v>
      </x:c>
      <x:c r="B18" s="10" t="str">
        <x:v>SUNCOAST-BEV</x:v>
      </x:c>
      <x:c r="C18" s="10" t="str">
        <x:v>SC-JCE-20L</x:v>
      </x:c>
      <x:c r="D18" s="10" t="str">
        <x:v>SKU-APL-JCE-003</x:v>
      </x:c>
      <x:c r="E18" s="13" t="n">
        <x:v>46266</x:v>
      </x:c>
      <x:c r="F18" s="13" t="n">
        <x:v>73050</x:v>
      </x:c>
      <x:c r="G18" s="9" t="str">
        <x:v>L</x:v>
      </x:c>
      <x:c r="H18" s="12" t="n">
        <x:v>19</x:v>
      </x:c>
      <x:c r="I18" s="12" t="n">
        <x:v>0.95</x:v>
      </x:c>
      <x:c r="J18" s="9" t="str">
        <x:v>CR-004</x:v>
      </x:c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 t="str">
        <x:v>Source: baseline supplier mappings plus decisions supported by REP-001, TERM-002, DIS-003 and DENS-004.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pageMargins left="0.7" right="0.7" top="0.75" bottom="0.75" header="0.3" footer="0.3"/>
  <x:tableParts count="1">
    <x:tablePart xmlns:r="http://schemas.openxmlformats.org/officeDocument/2006/relationships" r:id="R04a972613ab04bde"/>
  </x:tableParts>
</x:worksheet>
</file>